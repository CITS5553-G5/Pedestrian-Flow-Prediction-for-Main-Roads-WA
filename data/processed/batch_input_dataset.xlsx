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etadata" sheetId="1" r:id="rId4"/>
    <sheet name="Batch_Input" sheetId="2" r:id="rId5"/>
  </sheets>
</workbook>
</file>

<file path=xl/sharedStrings.xml><?xml version="1.0" encoding="utf-8"?>
<sst xmlns="http://schemas.openxmlformats.org/spreadsheetml/2006/main" uniqueCount="157">
  <si>
    <t>Pedestrian Flow Batch Input Dataset</t>
  </si>
  <si>
    <t>Workbook overview</t>
  </si>
  <si>
    <t>Dataset version</t>
  </si>
  <si>
    <t>batch_input_100_v1; input contract batch_input_v3; prepared 4 October 2026.</t>
  </si>
  <si>
    <t>Batch size</t>
  </si>
  <si>
    <t>100 locations: 49 observed sites followed by 51 randomly selected AusRAP road locations.</t>
  </si>
  <si>
    <t>How to run</t>
  </si>
  <si>
    <t>Select Batch_Input for the populated 100-location batch. The processed workbook is the operational input.</t>
  </si>
  <si>
    <t>Other template layouts</t>
  </si>
  <si>
    <t>Road_SLK and Coordinates are blank alternatives for new batches; they do not contain copies of the 100 locations.</t>
  </si>
  <si>
    <t>Observed-site source</t>
  </si>
  <si>
    <t>data/processed/model_dataset.xlsx, Model_Data: site IDs, road references, coordinates and both observed targets are unchanged.</t>
  </si>
  <si>
    <t>Unknown observations</t>
  </si>
  <si>
    <t>Both observed-count fields remain blank for all 51 random sites. Blank means unavailable, never zero.</t>
  </si>
  <si>
    <t>Random sampling</t>
  </si>
  <si>
    <t>Seed 20261004. Rank unique AusRAP road/midpoint units by SHA256 of &lt;seed&gt;:&lt;source_excel_row&gt;; select 51 eligible units.</t>
  </si>
  <si>
    <t>Sampling frame</t>
  </si>
  <si>
    <t>189,222 AusRAP source rows form 181,648 unique road/midpoint units. Retain the lowest Excel row for duplicate units.</t>
  </si>
  <si>
    <t>Selection rules</t>
  </si>
  <si>
    <t>Source carriageway must resolve to one measured Main Roads point. Keep at least 100 m from observations and other selected points.</t>
  </si>
  <si>
    <t>Random coordinates</t>
  </si>
  <si>
    <t>Use the source segment midpoint SLK on measured Main Roads geometry; map S/L/R to Single/Left/Right.</t>
  </si>
  <si>
    <t>Location precheck</t>
  </si>
  <si>
    <t>87 matched locations: 36 observed and all 51 random sites. 13 observed sites have ambiguous_carriageway.</t>
  </si>
  <si>
    <t>Carriageway action</t>
  </si>
  <si>
    <t>Filter location_precheck for ambiguous_carriageway. Confirm cway against survey evidence before requiring predictions for all 100 rows.</t>
  </si>
  <si>
    <t>AusRAP precheck</t>
  </si>
  <si>
    <t>99 matched with flow references; 250303-15 matches source rows with no usable flow values (matched_no_flow).</t>
  </si>
  <si>
    <t>Reference meaning</t>
  </si>
  <si>
    <t>Existing iRAP flow estimate (recoded) is client-defined. Matching uses road/SLK +/- 0.1 km, including all overlapping carriageways.</t>
  </si>
  <si>
    <t>Prediction basis</t>
  </si>
  <si>
    <t>Both groups use the released model and freshly extracted features. These operational results do not replace the saved OOF evaluation.</t>
  </si>
  <si>
    <t>Verification scope</t>
  </si>
  <si>
    <t>Inputs and local location/reference matching checked. Live ABS, imagery retrieval and 100-site model inference have not been run.</t>
  </si>
  <si>
    <t>Template reuse</t>
  </si>
  <si>
    <t>Copy a layout, replace its example rows and retain one header row. Excel filters do not exclude hidden rows from pipeline input.</t>
  </si>
  <si>
    <t>Sample interpretation</t>
  </si>
  <si>
    <t>Reproducible operational test sample, not a population-weighted sample or new model-accuracy validation dataset.</t>
  </si>
  <si>
    <t>Reproducibility record</t>
  </si>
  <si>
    <t>data/processed/batch_input_dataset.manifest.json stores source hashes, the sampling method, selected rows and preflight results.</t>
  </si>
  <si>
    <t>Field</t>
  </si>
  <si>
    <t>Type</t>
  </si>
  <si>
    <t>Requirement</t>
  </si>
  <si>
    <t>Meaning / use</t>
  </si>
  <si>
    <t>site_id</t>
  </si>
  <si>
    <t>Text</t>
  </si>
  <si>
    <t>Required</t>
  </si>
  <si>
    <t>Unique nonblank identifier. Survey IDs are preserved; AUSRAP-001 to AUSRAP-051 identify the random sample.</t>
  </si>
  <si>
    <t>latitude</t>
  </si>
  <si>
    <t>Number</t>
  </si>
  <si>
    <t>Coordinates / both</t>
  </si>
  <si>
    <t>Prediction latitude in WGS84 (EPSG:4326). Observed-site coordinates are copied unchanged.</t>
  </si>
  <si>
    <t>longitude</t>
  </si>
  <si>
    <t>Prediction longitude in WGS84 (EPSG:4326). Random coordinates use measured Main Roads geometry.</t>
  </si>
  <si>
    <t>road_no</t>
  </si>
  <si>
    <t>Road / both</t>
  </si>
  <si>
    <t>Main Roads road number. Supplied references are checked against coordinates.</t>
  </si>
  <si>
    <t>slk_km</t>
  </si>
  <si>
    <t>Point reference</t>
  </si>
  <si>
    <t>Point SLK in kilometres. Do not also fill start_slk and end_slk.</t>
  </si>
  <si>
    <t>road_name</t>
  </si>
  <si>
    <t>Optional metadata</t>
  </si>
  <si>
    <t>Human-readable name. Observed names come from Model_Data; random names come from Road_Network.csv.</t>
  </si>
  <si>
    <t>local_government_name</t>
  </si>
  <si>
    <t>Road_Network.csv local-government label matched by road and SLK; use source carriageway when available.</t>
  </si>
  <si>
    <t>cway</t>
  </si>
  <si>
    <t>When ambiguous</t>
  </si>
  <si>
    <t>Main Roads identifier: Single, Left or Right. Blank for all observed rows because Model_Data has no verified carriageway.</t>
  </si>
  <si>
    <t>obs_peak_cross_ped_per_h</t>
  </si>
  <si>
    <t>Optional</t>
  </si>
  <si>
    <t>Observed peak-hour crossing target, pedestrians/hour. Copy supplied values; leave unknown observations blank.</t>
  </si>
  <si>
    <t>obs_peak_along_ped_per_h</t>
  </si>
  <si>
    <t>Observed peak-hour along-road target, pedestrians/hour. Coverage follows the survey; no new side aggregation is applied.</t>
  </si>
  <si>
    <t>site_group</t>
  </si>
  <si>
    <t>observed or random. Used for selecting test batches, never as a model predictor. Join results to this field by site_id.</t>
  </si>
  <si>
    <t>sampling_source_row</t>
  </si>
  <si>
    <t>Integer</t>
  </si>
  <si>
    <t>Random provenance</t>
  </si>
  <si>
    <t>Excel row in the pinned AusRAP Words source. Does not bind reference matching to a single record.</t>
  </si>
  <si>
    <t>location_precheck</t>
  </si>
  <si>
    <t>Static audit</t>
  </si>
  <si>
    <t>Location status checked on 4 October 2026. Changing inputs requires a new check; production recomputes status.</t>
  </si>
  <si>
    <t>coordinate_crs</t>
  </si>
  <si>
    <t>Optional extension</t>
  </si>
  <si>
    <t>Defaults to EPSG:4326 when omitted. Other coordinate systems are rejected.</t>
  </si>
  <si>
    <t>start_slk / end_slk</t>
  </si>
  <si>
    <t>Segment alternative</t>
  </si>
  <si>
    <t>Road_SLK only: supply both bounds and leave slk_km blank. Uses the midpoint on the measured road line.</t>
  </si>
  <si>
    <t>ausrap_record_id</t>
  </si>
  <si>
    <t>Only for an intentional exact-source-record comparison; see docs/04_prediction_pipeline/ausrap_reference.md.</t>
  </si>
  <si>
    <t>250303-01</t>
  </si>
  <si>
    <t>M074</t>
  </si>
  <si>
    <t>Melville Mandurah Hwy</t>
  </si>
  <si>
    <t>Waroona</t>
  </si>
  <si>
    <t>observed</t>
  </si>
  <si>
    <t>matched</t>
  </si>
  <si>
    <t>250303-02</t>
  </si>
  <si>
    <t>H009</t>
  </si>
  <si>
    <t>South Western Hwy</t>
  </si>
  <si>
    <t>Bunbury (C)</t>
  </si>
  <si>
    <t>ambiguous_carriageway</t>
  </si>
  <si>
    <t>250303-03</t>
  </si>
  <si>
    <t>H045</t>
  </si>
  <si>
    <t>Coalfields Hwy</t>
  </si>
  <si>
    <t>Collie</t>
  </si>
  <si>
    <t>250303-04</t>
  </si>
  <si>
    <t>Manjimup</t>
  </si>
  <si>
    <t>250303-05</t>
  </si>
  <si>
    <t>Murray</t>
  </si>
  <si>
    <t>250303-06</t>
  </si>
  <si>
    <t>Harvey</t>
  </si>
  <si>
    <t>250303-07</t>
  </si>
  <si>
    <t>Donnybrook - Balingup</t>
  </si>
  <si>
    <t>250303-08</t>
  </si>
  <si>
    <t>M042</t>
  </si>
  <si>
    <t>Goodwood Rd</t>
  </si>
  <si>
    <t>Capel</t>
  </si>
  <si>
    <t>250303-09</t>
  </si>
  <si>
    <t>250303-10</t>
  </si>
  <si>
    <t>Bridgetown - Greenbushes</t>
  </si>
  <si>
    <t>AUSRAP-001</t>
  </si>
  <si>
    <t>H007</t>
  </si>
  <si>
    <t>North West Coastal Hwy</t>
  </si>
  <si>
    <t>Shark Bay</t>
  </si>
  <si>
    <t>Single</t>
  </si>
  <si>
    <t>random</t>
  </si>
  <si>
    <t>AUSRAP-002</t>
  </si>
  <si>
    <t>H003</t>
  </si>
  <si>
    <t>Eyre Hwy</t>
  </si>
  <si>
    <t>Dundas</t>
  </si>
  <si>
    <t>AUSRAP-003</t>
  </si>
  <si>
    <t>H057</t>
  </si>
  <si>
    <t>Forrest Hwy</t>
  </si>
  <si>
    <t>Left</t>
  </si>
  <si>
    <t>AUSRAP-004</t>
  </si>
  <si>
    <t>H006</t>
  </si>
  <si>
    <t>Great Northern Hwy</t>
  </si>
  <si>
    <t>Broome</t>
  </si>
  <si>
    <t>AUSRAP-005</t>
  </si>
  <si>
    <t>M054</t>
  </si>
  <si>
    <t>Geraldton Walkaway Rd</t>
  </si>
  <si>
    <t>Greater Geraldton (C)</t>
  </si>
  <si>
    <t>AUSRAP-006</t>
  </si>
  <si>
    <t>M061</t>
  </si>
  <si>
    <t>Boyanup Capel Rd</t>
  </si>
  <si>
    <t>AUSRAP-007</t>
  </si>
  <si>
    <t>Carnarvon</t>
  </si>
  <si>
    <t>AUSRAP-008</t>
  </si>
  <si>
    <t>M037</t>
  </si>
  <si>
    <t>Collie Lake King Rd</t>
  </si>
  <si>
    <t>AUSRAP-009</t>
  </si>
  <si>
    <t>H041</t>
  </si>
  <si>
    <t>Anzac Dr</t>
  </si>
  <si>
    <t>Kalgoorlie - Boulder (C)</t>
  </si>
  <si>
    <t>AUSRAP-010</t>
  </si>
  <si>
    <t>M076</t>
  </si>
  <si>
    <t>Broome Cape Leveque Rd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</si>
</sst>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00000"/>
    <numFmt numFmtId="60" formatCode="0.000"/>
  </numFmts>
  <fonts count="5">
    <font>
      <sz val="11"/>
      <color indexed="8"/>
      <name val="Carlito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Carlito"/>
    </font>
    <font>
      <b val="1"/>
      <sz val="11"/>
      <color indexed="8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  <xf numFmtId="0" fontId="4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60" fontId="0" borderId="1" applyNumberFormat="1" applyFont="1" applyFill="0" applyBorder="1" applyAlignment="1" applyProtection="0">
      <alignment vertical="bottom"/>
    </xf>
    <xf numFmtId="2" fontId="0" borderId="1" applyNumberFormat="1" applyFont="1" applyFill="0" applyBorder="1" applyAlignment="1" applyProtection="0">
      <alignment vertical="bottom"/>
    </xf>
    <xf numFmtId="1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1">
    <dxf>
      <font>
        <color rgb="ff7f6000"/>
      </font>
      <fill>
        <patternFill patternType="solid">
          <fgColor indexed="10"/>
          <bgColor indexed="11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00000000"/>
      <rgbColor rgb="fffff2cc"/>
      <rgbColor rgb="ff7f6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53"/>
  <sheetViews>
    <sheetView workbookViewId="0" showGridLines="0" defaultGridColor="1"/>
  </sheetViews>
  <sheetFormatPr defaultColWidth="8.83333" defaultRowHeight="15.4" customHeight="1" outlineLevelRow="0" outlineLevelCol="0"/>
  <cols>
    <col min="1" max="1" width="34" style="1" customWidth="1"/>
    <col min="2" max="2" width="15" style="1" customWidth="1"/>
    <col min="3" max="3" width="24" style="1" customWidth="1"/>
    <col min="4" max="4" width="95" style="1" customWidth="1"/>
    <col min="5" max="5" width="8.85156" style="1" customWidth="1"/>
    <col min="6" max="16384" width="8.85156" style="1" customWidth="1"/>
  </cols>
  <sheetData>
    <row r="1" ht="30" customHeight="1">
      <c r="A1" t="s" s="2">
        <v>0</v>
      </c>
      <c r="B1" s="3"/>
      <c r="C1" s="3"/>
      <c r="D1" s="3"/>
      <c r="E1" s="4"/>
    </row>
    <row r="2" ht="25" customHeight="1">
      <c r="A2" s="3"/>
      <c r="B2" s="3"/>
      <c r="C2" s="3"/>
      <c r="D2" s="3"/>
      <c r="E2" s="3"/>
    </row>
    <row r="3" ht="24" customHeight="1">
      <c r="A3" t="s" s="5">
        <v>1</v>
      </c>
      <c r="B3" s="3"/>
      <c r="C3" s="3"/>
      <c r="D3" s="3"/>
      <c r="E3" s="3"/>
    </row>
    <row r="4" ht="34" customHeight="1">
      <c r="A4" t="s" s="5">
        <v>2</v>
      </c>
      <c r="B4" s="5" t="inlineStr">
        <is>
          <t>customer_simulation_20_v1; input contract batch_input_v3; updated 5 October 2026.</t>
        </is>
      </c>
      <c r="C4" s="3"/>
      <c r="D4" s="3"/>
      <c r="E4" s="3"/>
    </row>
    <row r="5" ht="34" customHeight="1">
      <c r="A5" t="s" s="5">
        <v>4</v>
      </c>
      <c r="B5" s="5" t="inlineStr">
        <is>
          <t>20 locations: 10 observed sites and 10 random AusRAP locations.</t>
        </is>
      </c>
      <c r="C5" s="3"/>
      <c r="D5" s="3"/>
      <c r="E5" s="3"/>
    </row>
    <row r="6" ht="34" customHeight="1">
      <c r="A6" t="s" s="5">
        <v>6</v>
      </c>
      <c r="B6" s="5" t="inlineStr">
        <is>
          <t>Read all rows from the selected sheet. Template and processed rows may differ.</t>
        </is>
      </c>
      <c r="C6" s="3"/>
      <c r="D6" s="3"/>
      <c r="E6" s="3"/>
    </row>
    <row r="7" ht="34" customHeight="1">
      <c r="A7" t="s" s="5">
        <v>8</v>
      </c>
      <c r="B7" s="5" t="inlineStr">
        <is>
          <t>Road_SLK and Coordinates provide alternative layouts for batches of any positive size.</t>
        </is>
      </c>
      <c r="C7" s="3"/>
      <c r="D7" s="3"/>
      <c r="E7" s="3"/>
    </row>
    <row r="8" ht="34" customHeight="1">
      <c r="A8" t="s" s="5">
        <v>10</v>
      </c>
      <c r="B8" t="s" s="5">
        <v>11</v>
      </c>
      <c r="C8" s="3"/>
      <c r="D8" s="3"/>
      <c r="E8" s="3"/>
    </row>
    <row r="9" ht="34" customHeight="1">
      <c r="A9" t="s" s="5">
        <v>12</v>
      </c>
      <c r="B9" s="5" t="inlineStr">
        <is>
          <t>Unknown observed counts stay blank. Blank means unavailable, never zero.</t>
        </is>
      </c>
      <c r="C9" s="3"/>
      <c r="D9" s="3"/>
      <c r="E9" s="3"/>
    </row>
    <row r="10" ht="34" customHeight="1">
      <c r="A10" t="s" s="5">
        <v>14</v>
      </c>
      <c r="B10" s="5" t="inlineStr">
        <is>
          <t>The current simulation uses 10 observed and 10 random sites from the template example.</t>
        </is>
      </c>
      <c r="C10" s="3"/>
      <c r="D10" s="3"/>
      <c r="E10" s="3"/>
    </row>
    <row r="11" ht="34" customHeight="1">
      <c r="A11" t="s" s="5">
        <v>16</v>
      </c>
      <c r="B11" s="5" t="inlineStr">
        <is>
          <t>Random sites retain the original template sample provenance.</t>
        </is>
      </c>
      <c r="C11" s="3"/>
      <c r="D11" s="3"/>
      <c r="E11" s="3"/>
    </row>
    <row r="12" ht="34" customHeight="1">
      <c r="A12" t="s" s="5">
        <v>18</v>
      </c>
      <c r="B12" s="5" t="inlineStr">
        <is>
          <t>Entered coordinates locate features. Road-only input must resolve to one measured position.</t>
        </is>
      </c>
      <c r="C12" s="3"/>
      <c r="D12" s="3"/>
      <c r="E12" s="3"/>
    </row>
    <row r="13" ht="34" customHeight="1">
      <c r="A13" t="s" s="5">
        <v>20</v>
      </c>
      <c r="B13" t="s" s="5">
        <v>21</v>
      </c>
      <c r="C13" s="3"/>
      <c r="D13" s="3"/>
      <c r="E13" s="3"/>
    </row>
    <row r="14" ht="34" customHeight="1">
      <c r="A14" t="s" s="5">
        <v>22</v>
      </c>
      <c r="B14" s="5" t="inlineStr">
        <is>
          <t>18 matched locations and 2 ambiguous carriageways. These are road checks, not prediction counts.</t>
        </is>
      </c>
      <c r="C14" s="3"/>
      <c r="D14" s="3"/>
      <c r="E14" s="3"/>
    </row>
    <row r="15" ht="34" customHeight="1">
      <c r="A15" t="s" s="5">
        <v>24</v>
      </c>
      <c r="B15" s="5" t="inlineStr">
        <is>
          <t>Valid coordinates permit prediction with a carriageway warning. Road-only ambiguity needs cway.</t>
        </is>
      </c>
      <c r="C15" s="3"/>
      <c r="D15" s="3"/>
      <c r="E15" s="3"/>
    </row>
    <row r="16" ht="34" customHeight="1">
      <c r="A16" t="s" s="5">
        <v>26</v>
      </c>
      <c r="B16" s="5" t="inlineStr">
        <is>
          <t>References are matched at runtime. Missing references do not block valid model predictions.</t>
        </is>
      </c>
      <c r="C16" s="3"/>
      <c r="D16" s="3"/>
      <c r="E16" s="3"/>
    </row>
    <row r="17" ht="34" customHeight="1">
      <c r="A17" t="s" s="5">
        <v>28</v>
      </c>
      <c r="B17" t="s" s="5">
        <v>29</v>
      </c>
      <c r="C17" s="3"/>
      <c r="D17" s="3"/>
      <c r="E17" s="3"/>
    </row>
    <row r="18" ht="34" customHeight="1">
      <c r="A18" t="s" s="5">
        <v>30</v>
      </c>
      <c r="B18" t="s" s="5">
        <v>31</v>
      </c>
      <c r="C18" s="3"/>
      <c r="D18" s="3"/>
      <c r="E18" s="3"/>
    </row>
    <row r="19" ht="34" customHeight="1">
      <c r="A19" t="s" s="5">
        <v>32</v>
      </c>
      <c r="B19" s="5" t="inlineStr">
        <is>
          <t>Local checks only. Live ABS/imagery acceptance awaits a working Gemini key.</t>
        </is>
      </c>
      <c r="C19" s="3"/>
      <c r="D19" s="3"/>
      <c r="E19" s="3"/>
    </row>
    <row r="20" ht="34" customHeight="1">
      <c r="A20" t="s" s="5">
        <v>34</v>
      </c>
      <c r="B20" t="s" s="5">
        <v>35</v>
      </c>
      <c r="C20" s="3"/>
      <c r="D20" s="3"/>
      <c r="E20" s="3"/>
    </row>
    <row r="21" ht="34" customHeight="1">
      <c r="A21" t="s" s="5">
        <v>36</v>
      </c>
      <c r="B21" t="s" s="5">
        <v>37</v>
      </c>
      <c r="C21" s="3"/>
      <c r="D21" s="3"/>
      <c r="E21" s="3"/>
    </row>
    <row r="22" ht="34" customHeight="1">
      <c r="A22" t="s" s="5">
        <v>38</v>
      </c>
      <c r="B22" t="s" s="5">
        <v>39</v>
      </c>
      <c r="C22" s="3"/>
      <c r="D22" s="3"/>
      <c r="E22" s="3"/>
    </row>
    <row r="23" ht="25" customHeight="1">
      <c r="A23" s="3"/>
      <c r="B23" s="3"/>
      <c r="C23" s="3"/>
      <c r="D23" s="3"/>
      <c r="E23" s="3"/>
    </row>
    <row r="24" ht="25" customHeight="1">
      <c r="A24" s="3"/>
      <c r="B24" s="3"/>
      <c r="C24" s="3"/>
      <c r="D24" s="3"/>
      <c r="E24" s="3"/>
    </row>
    <row r="25" ht="26" customHeight="1">
      <c r="A25" t="s" s="6">
        <v>40</v>
      </c>
      <c r="B25" t="s" s="6">
        <v>41</v>
      </c>
      <c r="C25" t="s" s="6">
        <v>42</v>
      </c>
      <c r="D25" t="s" s="6">
        <v>43</v>
      </c>
      <c r="E25" s="7"/>
    </row>
    <row r="26" ht="46" customHeight="1">
      <c r="A26" t="s" s="5">
        <v>44</v>
      </c>
      <c r="B26" t="s" s="5">
        <v>45</v>
      </c>
      <c r="C26" t="s" s="5">
        <v>46</v>
      </c>
      <c r="D26" t="s" s="5">
        <v>47</v>
      </c>
      <c r="E26" s="3"/>
    </row>
    <row r="27" ht="46" customHeight="1">
      <c r="A27" t="s" s="5">
        <v>48</v>
      </c>
      <c r="B27" t="s" s="5">
        <v>49</v>
      </c>
      <c r="C27" t="s" s="5">
        <v>50</v>
      </c>
      <c r="D27" t="s" s="5">
        <v>51</v>
      </c>
      <c r="E27" s="3"/>
    </row>
    <row r="28" ht="46" customHeight="1">
      <c r="A28" t="s" s="5">
        <v>52</v>
      </c>
      <c r="B28" t="s" s="5">
        <v>49</v>
      </c>
      <c r="C28" t="s" s="5">
        <v>50</v>
      </c>
      <c r="D28" t="s" s="5">
        <v>53</v>
      </c>
      <c r="E28" s="3"/>
    </row>
    <row r="29" ht="46" customHeight="1">
      <c r="A29" t="s" s="5">
        <v>54</v>
      </c>
      <c r="B29" t="s" s="5">
        <v>45</v>
      </c>
      <c r="C29" t="s" s="5">
        <v>55</v>
      </c>
      <c r="D29" t="s" s="5">
        <v>56</v>
      </c>
      <c r="E29" s="3"/>
    </row>
    <row r="30" ht="46" customHeight="1">
      <c r="A30" t="s" s="5">
        <v>57</v>
      </c>
      <c r="B30" t="s" s="5">
        <v>49</v>
      </c>
      <c r="C30" t="s" s="5">
        <v>58</v>
      </c>
      <c r="D30" t="s" s="5">
        <v>59</v>
      </c>
      <c r="E30" s="3"/>
    </row>
    <row r="31" ht="46" customHeight="1">
      <c r="A31" t="s" s="5">
        <v>60</v>
      </c>
      <c r="B31" t="s" s="5">
        <v>45</v>
      </c>
      <c r="C31" t="s" s="5">
        <v>61</v>
      </c>
      <c r="D31" t="s" s="5">
        <v>62</v>
      </c>
      <c r="E31" s="3"/>
    </row>
    <row r="32" ht="46" customHeight="1">
      <c r="A32" t="s" s="5">
        <v>63</v>
      </c>
      <c r="B32" t="s" s="5">
        <v>45</v>
      </c>
      <c r="C32" t="s" s="5">
        <v>61</v>
      </c>
      <c r="D32" t="s" s="5">
        <v>64</v>
      </c>
      <c r="E32" s="3"/>
    </row>
    <row r="33" ht="46" customHeight="1">
      <c r="A33" t="s" s="5">
        <v>65</v>
      </c>
      <c r="B33" t="s" s="5">
        <v>45</v>
      </c>
      <c r="C33" t="s" s="5">
        <v>66</v>
      </c>
      <c r="D33" t="s" s="5">
        <v>67</v>
      </c>
      <c r="E33" s="3"/>
    </row>
    <row r="34" ht="46" customHeight="1">
      <c r="A34" t="s" s="5">
        <v>68</v>
      </c>
      <c r="B34" t="s" s="5">
        <v>49</v>
      </c>
      <c r="C34" t="s" s="5">
        <v>69</v>
      </c>
      <c r="D34" t="s" s="5">
        <v>70</v>
      </c>
      <c r="E34" s="3"/>
    </row>
    <row r="35" ht="46" customHeight="1">
      <c r="A35" t="s" s="5">
        <v>71</v>
      </c>
      <c r="B35" t="s" s="5">
        <v>49</v>
      </c>
      <c r="C35" t="s" s="5">
        <v>69</v>
      </c>
      <c r="D35" t="s" s="5">
        <v>72</v>
      </c>
      <c r="E35" s="3"/>
    </row>
    <row r="36" ht="46" customHeight="1">
      <c r="A36" t="s" s="5">
        <v>73</v>
      </c>
      <c r="B36" t="s" s="5">
        <v>45</v>
      </c>
      <c r="C36" t="s" s="5">
        <v>61</v>
      </c>
      <c r="D36" t="s" s="5">
        <v>74</v>
      </c>
      <c r="E36" s="3"/>
    </row>
    <row r="37" ht="46" customHeight="1">
      <c r="A37" t="s" s="5">
        <v>75</v>
      </c>
      <c r="B37" t="s" s="5">
        <v>76</v>
      </c>
      <c r="C37" t="s" s="5">
        <v>77</v>
      </c>
      <c r="D37" t="s" s="5">
        <v>78</v>
      </c>
      <c r="E37" s="3"/>
    </row>
    <row r="38" ht="46" customHeight="1">
      <c r="A38" t="s" s="5">
        <v>79</v>
      </c>
      <c r="B38" t="s" s="5">
        <v>45</v>
      </c>
      <c r="C38" t="s" s="5">
        <v>80</v>
      </c>
      <c r="D38" t="s" s="5">
        <v>81</v>
      </c>
      <c r="E38" s="3"/>
    </row>
    <row r="39" ht="46" customHeight="1">
      <c r="A39" t="s" s="5">
        <v>82</v>
      </c>
      <c r="B39" t="s" s="5">
        <v>45</v>
      </c>
      <c r="C39" t="s" s="5">
        <v>83</v>
      </c>
      <c r="D39" t="s" s="5">
        <v>84</v>
      </c>
      <c r="E39" s="3"/>
    </row>
    <row r="40" ht="46" customHeight="1">
      <c r="A40" t="s" s="5">
        <v>85</v>
      </c>
      <c r="B40" t="s" s="5">
        <v>49</v>
      </c>
      <c r="C40" t="s" s="5">
        <v>86</v>
      </c>
      <c r="D40" t="s" s="5">
        <v>87</v>
      </c>
      <c r="E40" s="3"/>
    </row>
    <row r="41" ht="46" customHeight="1">
      <c r="A41" t="s" s="5">
        <v>88</v>
      </c>
      <c r="B41" t="s" s="5">
        <v>45</v>
      </c>
      <c r="C41" t="s" s="5">
        <v>83</v>
      </c>
      <c r="D41" t="s" s="5">
        <v>89</v>
      </c>
      <c r="E41" s="3"/>
    </row>
    <row r="42" ht="25" customHeight="1">
      <c r="A42" s="3"/>
      <c r="B42" s="3"/>
      <c r="C42" s="3"/>
      <c r="D42" s="3"/>
      <c r="E42" s="3"/>
    </row>
    <row r="43" ht="25" customHeight="1">
      <c r="A43" s="3"/>
      <c r="B43" s="3"/>
      <c r="C43" s="3"/>
      <c r="D43" s="3"/>
      <c r="E43" s="3"/>
    </row>
    <row r="44" ht="25" customHeight="1">
      <c r="A44" s="3"/>
      <c r="B44" s="3"/>
      <c r="C44" s="3"/>
      <c r="D44" s="3"/>
      <c r="E44" s="3"/>
    </row>
    <row r="45" ht="25" customHeight="1">
      <c r="A45" s="3"/>
      <c r="B45" s="3"/>
      <c r="C45" s="3"/>
      <c r="D45" s="3"/>
      <c r="E45" s="3"/>
    </row>
    <row r="46" ht="25" customHeight="1">
      <c r="A46" s="3"/>
      <c r="B46" s="3"/>
      <c r="C46" s="3"/>
      <c r="D46" s="3"/>
      <c r="E46" s="3"/>
    </row>
    <row r="47" ht="25" customHeight="1">
      <c r="A47" s="3"/>
      <c r="B47" s="3"/>
      <c r="C47" s="3"/>
      <c r="D47" s="3"/>
      <c r="E47" s="3"/>
    </row>
    <row r="48" ht="25" customHeight="1">
      <c r="A48" s="3"/>
      <c r="B48" s="3"/>
      <c r="C48" s="3"/>
      <c r="D48" s="3"/>
      <c r="E48" s="3"/>
    </row>
    <row r="49" ht="25" customHeight="1">
      <c r="A49" s="3"/>
      <c r="B49" s="3"/>
      <c r="C49" s="3"/>
      <c r="D49" s="3"/>
      <c r="E49" s="3"/>
    </row>
    <row r="50" ht="25" customHeight="1">
      <c r="A50" s="3"/>
      <c r="B50" s="3"/>
      <c r="C50" s="3"/>
      <c r="D50" s="3"/>
      <c r="E50" s="3"/>
    </row>
    <row r="51" ht="25" customHeight="1">
      <c r="A51" s="3"/>
      <c r="B51" s="3"/>
      <c r="C51" s="3"/>
      <c r="D51" s="3"/>
      <c r="E51" s="3"/>
    </row>
    <row r="52" ht="25" customHeight="1">
      <c r="A52" s="3"/>
      <c r="B52" s="3"/>
      <c r="C52" s="3"/>
      <c r="D52" s="3"/>
      <c r="E52" s="3"/>
    </row>
    <row r="53" ht="25" customHeight="1">
      <c r="A53" s="3"/>
      <c r="B53" s="3"/>
      <c r="C53" s="3"/>
      <c r="D53" s="3"/>
      <c r="E53" s="3"/>
    </row>
  </sheetData>
  <mergeCells count="21">
    <mergeCell ref="A1:D1"/>
    <mergeCell ref="A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N22"/>
  <sheetViews>
    <sheetView workbookViewId="0" showGridLines="0" defaultGridColor="1"/>
  </sheetViews>
  <sheetFormatPr defaultColWidth="8.83333" defaultRowHeight="15.4" customHeight="1" outlineLevelRow="0" outlineLevelCol="0"/>
  <cols>
    <col min="1" max="1" width="18" style="8" customWidth="1"/>
    <col min="2" max="3" width="16" style="8" customWidth="1"/>
    <col min="4" max="4" width="12" style="8" customWidth="1"/>
    <col min="5" max="5" width="14" style="8" customWidth="1"/>
    <col min="6" max="6" width="34" style="8" customWidth="1"/>
    <col min="7" max="7" width="25" style="8" customWidth="1"/>
    <col min="8" max="14" width="8.85156" style="8" customWidth="1"/>
    <col min="15" max="16384" width="8.85156" style="8" customWidth="1"/>
  </cols>
  <sheetData>
    <row r="1" ht="48" customHeight="1">
      <c r="A1" t="s" s="6">
        <v>44</v>
      </c>
      <c r="B1" t="s" s="6">
        <v>48</v>
      </c>
      <c r="C1" t="s" s="6">
        <v>52</v>
      </c>
      <c r="D1" t="s" s="6">
        <v>54</v>
      </c>
      <c r="E1" t="s" s="6">
        <v>57</v>
      </c>
      <c r="F1" t="s" s="6">
        <v>60</v>
      </c>
      <c r="G1" t="s" s="6">
        <v>63</v>
      </c>
      <c r="H1" t="s" s="6">
        <v>65</v>
      </c>
      <c r="I1" t="s" s="6">
        <v>68</v>
      </c>
      <c r="J1" t="s" s="6">
        <v>71</v>
      </c>
      <c r="K1" t="s" s="6">
        <v>73</v>
      </c>
      <c r="L1" t="s" s="6">
        <v>75</v>
      </c>
      <c r="M1" t="s" s="6">
        <v>79</v>
      </c>
      <c r="N1" s="7"/>
    </row>
    <row r="2" ht="23" customHeight="1">
      <c r="A2" t="s" s="5">
        <v>90</v>
      </c>
      <c r="B2" s="9">
        <v>-32.8662817</v>
      </c>
      <c r="C2" s="9">
        <v>115.70516258</v>
      </c>
      <c r="D2" t="s" s="5">
        <v>91</v>
      </c>
      <c r="E2" s="10">
        <v>52.8</v>
      </c>
      <c r="F2" t="s" s="5">
        <v>92</v>
      </c>
      <c r="G2" t="s" s="5">
        <v>93</v>
      </c>
      <c r="H2" s="3"/>
      <c r="I2" s="11">
        <v>0.333333333333333</v>
      </c>
      <c r="J2" s="11">
        <v>12.3333333333333</v>
      </c>
      <c r="K2" t="s" s="5">
        <v>94</v>
      </c>
      <c r="L2" s="12"/>
      <c r="M2" t="s" s="5">
        <v>95</v>
      </c>
      <c r="N2" s="3"/>
    </row>
    <row r="3" ht="23" customHeight="1">
      <c r="A3" t="s" s="5">
        <v>96</v>
      </c>
      <c r="B3" s="9">
        <v>-33.359642215</v>
      </c>
      <c r="C3" s="9">
        <v>115.67804115</v>
      </c>
      <c r="D3" t="s" s="5">
        <v>97</v>
      </c>
      <c r="E3" s="10">
        <v>155.15</v>
      </c>
      <c r="F3" t="s" s="5">
        <v>98</v>
      </c>
      <c r="G3" t="s" s="5">
        <v>99</v>
      </c>
      <c r="H3" s="3"/>
      <c r="I3" s="11">
        <v>4</v>
      </c>
      <c r="J3" s="11">
        <v>7.66666666666667</v>
      </c>
      <c r="K3" t="s" s="5">
        <v>94</v>
      </c>
      <c r="L3" s="12"/>
      <c r="M3" t="s" s="5">
        <v>100</v>
      </c>
      <c r="N3" s="3"/>
    </row>
    <row r="4" ht="23" customHeight="1">
      <c r="A4" t="s" s="5">
        <v>101</v>
      </c>
      <c r="B4" s="9">
        <v>-33.360624217</v>
      </c>
      <c r="C4" s="9">
        <v>116.15473817</v>
      </c>
      <c r="D4" t="s" s="5">
        <v>102</v>
      </c>
      <c r="E4" s="10">
        <v>36.1</v>
      </c>
      <c r="F4" t="s" s="5">
        <v>103</v>
      </c>
      <c r="G4" t="s" s="5">
        <v>104</v>
      </c>
      <c r="H4" s="3"/>
      <c r="I4" s="11">
        <v>47</v>
      </c>
      <c r="J4" s="11">
        <v>101.333333333333</v>
      </c>
      <c r="K4" t="s" s="5">
        <v>94</v>
      </c>
      <c r="L4" s="12"/>
      <c r="M4" t="s" s="5">
        <v>95</v>
      </c>
      <c r="N4" s="3"/>
    </row>
    <row r="5" ht="23" customHeight="1">
      <c r="A5" t="s" s="5">
        <v>105</v>
      </c>
      <c r="B5" s="9">
        <v>-34.238746412</v>
      </c>
      <c r="C5" s="9">
        <v>116.14949095</v>
      </c>
      <c r="D5" t="s" s="5">
        <v>97</v>
      </c>
      <c r="E5" s="10">
        <v>278.3</v>
      </c>
      <c r="F5" t="s" s="5">
        <v>98</v>
      </c>
      <c r="G5" t="s" s="5">
        <v>106</v>
      </c>
      <c r="H5" s="3"/>
      <c r="I5" s="11">
        <v>16</v>
      </c>
      <c r="J5" s="11">
        <v>11</v>
      </c>
      <c r="K5" t="s" s="5">
        <v>94</v>
      </c>
      <c r="L5" s="12"/>
      <c r="M5" t="s" s="5">
        <v>95</v>
      </c>
      <c r="N5" s="3"/>
    </row>
    <row r="6" ht="23" customHeight="1">
      <c r="A6" t="s" s="5">
        <v>107</v>
      </c>
      <c r="B6" s="9">
        <v>-32.62891769</v>
      </c>
      <c r="C6" s="9">
        <v>115.8746123</v>
      </c>
      <c r="D6" t="s" s="5">
        <v>97</v>
      </c>
      <c r="E6" s="10">
        <v>57.9</v>
      </c>
      <c r="F6" t="s" s="5">
        <v>98</v>
      </c>
      <c r="G6" t="s" s="5">
        <v>108</v>
      </c>
      <c r="H6" s="3"/>
      <c r="I6" s="11">
        <v>57.3333333333333</v>
      </c>
      <c r="J6" s="11">
        <v>108</v>
      </c>
      <c r="K6" t="s" s="5">
        <v>94</v>
      </c>
      <c r="L6" s="12"/>
      <c r="M6" t="s" s="5">
        <v>95</v>
      </c>
      <c r="N6" s="3"/>
    </row>
    <row r="7" ht="23" customHeight="1">
      <c r="A7" t="s" s="5">
        <v>109</v>
      </c>
      <c r="B7" s="9">
        <v>-33.08250641</v>
      </c>
      <c r="C7" s="9">
        <v>115.9057239</v>
      </c>
      <c r="D7" t="s" s="5">
        <v>97</v>
      </c>
      <c r="E7" s="10">
        <v>111.3</v>
      </c>
      <c r="F7" t="s" s="5">
        <v>98</v>
      </c>
      <c r="G7" t="s" s="5">
        <v>110</v>
      </c>
      <c r="H7" s="3"/>
      <c r="I7" s="11">
        <v>52</v>
      </c>
      <c r="J7" s="11">
        <v>21.3333333333333</v>
      </c>
      <c r="K7" t="s" s="5">
        <v>94</v>
      </c>
      <c r="L7" s="12"/>
      <c r="M7" t="s" s="5">
        <v>95</v>
      </c>
      <c r="N7" s="3"/>
    </row>
    <row r="8" ht="23" customHeight="1">
      <c r="A8" t="s" s="5">
        <v>111</v>
      </c>
      <c r="B8" s="9">
        <v>-33.574457561</v>
      </c>
      <c r="C8" s="9">
        <v>115.824750145</v>
      </c>
      <c r="D8" t="s" s="5">
        <v>97</v>
      </c>
      <c r="E8" s="10">
        <v>185.5</v>
      </c>
      <c r="F8" t="s" s="5">
        <v>98</v>
      </c>
      <c r="G8" t="s" s="5">
        <v>112</v>
      </c>
      <c r="H8" s="3"/>
      <c r="I8" s="11">
        <v>46.6666666666667</v>
      </c>
      <c r="J8" s="11">
        <v>52.3333333333333</v>
      </c>
      <c r="K8" t="s" s="5">
        <v>94</v>
      </c>
      <c r="L8" s="12"/>
      <c r="M8" t="s" s="5">
        <v>100</v>
      </c>
      <c r="N8" s="3"/>
    </row>
    <row r="9" ht="23" customHeight="1">
      <c r="A9" t="s" s="5">
        <v>113</v>
      </c>
      <c r="B9" s="9">
        <v>-33.55335399</v>
      </c>
      <c r="C9" s="9">
        <v>115.5632645</v>
      </c>
      <c r="D9" t="s" s="5">
        <v>114</v>
      </c>
      <c r="E9" s="10">
        <v>1.1</v>
      </c>
      <c r="F9" t="s" s="5">
        <v>115</v>
      </c>
      <c r="G9" t="s" s="5">
        <v>116</v>
      </c>
      <c r="H9" s="3"/>
      <c r="I9" s="11">
        <v>34.3333333333333</v>
      </c>
      <c r="J9" s="11">
        <v>53</v>
      </c>
      <c r="K9" t="s" s="5">
        <v>94</v>
      </c>
      <c r="L9" s="12"/>
      <c r="M9" t="s" s="5">
        <v>95</v>
      </c>
      <c r="N9" s="3"/>
    </row>
    <row r="10" ht="23" customHeight="1">
      <c r="A10" t="s" s="5">
        <v>117</v>
      </c>
      <c r="B10" s="9">
        <v>-32.84577231</v>
      </c>
      <c r="C10" s="9">
        <v>115.92262235</v>
      </c>
      <c r="D10" t="s" s="5">
        <v>97</v>
      </c>
      <c r="E10" s="10">
        <v>83.5</v>
      </c>
      <c r="F10" t="s" s="5">
        <v>98</v>
      </c>
      <c r="G10" t="s" s="5">
        <v>93</v>
      </c>
      <c r="H10" s="3"/>
      <c r="I10" s="11">
        <v>26.3333333333333</v>
      </c>
      <c r="J10" s="11">
        <v>13</v>
      </c>
      <c r="K10" t="s" s="5">
        <v>94</v>
      </c>
      <c r="L10" s="12"/>
      <c r="M10" t="s" s="5">
        <v>95</v>
      </c>
      <c r="N10" s="3"/>
    </row>
    <row r="11" ht="23" customHeight="1">
      <c r="A11" t="s" s="5">
        <v>118</v>
      </c>
      <c r="B11" s="9">
        <v>-33.959022713</v>
      </c>
      <c r="C11" s="9">
        <v>116.13690154</v>
      </c>
      <c r="D11" t="s" s="5">
        <v>97</v>
      </c>
      <c r="E11" s="10">
        <v>242.9</v>
      </c>
      <c r="F11" t="s" s="5">
        <v>98</v>
      </c>
      <c r="G11" t="s" s="5">
        <v>119</v>
      </c>
      <c r="H11" s="3"/>
      <c r="I11" s="11">
        <v>96.6666666666667</v>
      </c>
      <c r="J11" s="11">
        <v>349.666666666667</v>
      </c>
      <c r="K11" t="s" s="5">
        <v>94</v>
      </c>
      <c r="L11" s="12"/>
      <c r="M11" t="s" s="5">
        <v>95</v>
      </c>
      <c r="N11" s="3"/>
    </row>
    <row r="12" ht="23" customHeight="1">
      <c r="A12" t="s" s="5">
        <v>120</v>
      </c>
      <c r="B12" s="9">
        <v>-26.7024871822206</v>
      </c>
      <c r="C12" s="9">
        <v>114.572105812766</v>
      </c>
      <c r="D12" t="s" s="5">
        <v>121</v>
      </c>
      <c r="E12" s="10">
        <v>247.09</v>
      </c>
      <c r="F12" t="s" s="5">
        <v>122</v>
      </c>
      <c r="G12" t="s" s="5">
        <v>123</v>
      </c>
      <c r="H12" t="s" s="5">
        <v>124</v>
      </c>
      <c r="I12" s="11"/>
      <c r="J12" s="11"/>
      <c r="K12" t="s" s="5">
        <v>125</v>
      </c>
      <c r="L12" s="12">
        <v>56914</v>
      </c>
      <c r="M12" t="s" s="5">
        <v>95</v>
      </c>
      <c r="N12" s="3"/>
    </row>
    <row r="13" ht="23" customHeight="1">
      <c r="A13" t="s" s="5">
        <v>126</v>
      </c>
      <c r="B13" s="9">
        <v>-31.8496887478057</v>
      </c>
      <c r="C13" s="9">
        <v>128.015450913724</v>
      </c>
      <c r="D13" t="s" s="5">
        <v>127</v>
      </c>
      <c r="E13" s="10">
        <v>623.12</v>
      </c>
      <c r="F13" t="s" s="5">
        <v>128</v>
      </c>
      <c r="G13" t="s" s="5">
        <v>129</v>
      </c>
      <c r="H13" t="s" s="5">
        <v>124</v>
      </c>
      <c r="I13" s="11"/>
      <c r="J13" s="11"/>
      <c r="K13" t="s" s="5">
        <v>125</v>
      </c>
      <c r="L13" s="12">
        <v>11660</v>
      </c>
      <c r="M13" t="s" s="5">
        <v>95</v>
      </c>
      <c r="N13" s="3"/>
    </row>
    <row r="14" ht="23" customHeight="1">
      <c r="A14" t="s" s="5">
        <v>130</v>
      </c>
      <c r="B14" s="9">
        <v>-32.6515619295878</v>
      </c>
      <c r="C14" s="9">
        <v>115.800800671141</v>
      </c>
      <c r="D14" t="s" s="5">
        <v>131</v>
      </c>
      <c r="E14" s="10">
        <v>9.25</v>
      </c>
      <c r="F14" t="s" s="5">
        <v>132</v>
      </c>
      <c r="G14" t="s" s="5">
        <v>108</v>
      </c>
      <c r="H14" t="s" s="5">
        <v>133</v>
      </c>
      <c r="I14" s="11"/>
      <c r="J14" s="11"/>
      <c r="K14" t="s" s="5">
        <v>125</v>
      </c>
      <c r="L14" s="12">
        <v>112481</v>
      </c>
      <c r="M14" t="s" s="5">
        <v>95</v>
      </c>
      <c r="N14" s="3"/>
    </row>
    <row r="15" ht="23" customHeight="1">
      <c r="A15" t="s" s="5">
        <v>134</v>
      </c>
      <c r="B15" s="9">
        <v>-19.7038419298351</v>
      </c>
      <c r="C15" s="9">
        <v>121.230465304348</v>
      </c>
      <c r="D15" t="s" s="5">
        <v>135</v>
      </c>
      <c r="E15" s="10">
        <v>1892.63</v>
      </c>
      <c r="F15" t="s" s="5">
        <v>136</v>
      </c>
      <c r="G15" t="s" s="5">
        <v>137</v>
      </c>
      <c r="H15" t="s" s="5">
        <v>124</v>
      </c>
      <c r="I15" s="11"/>
      <c r="J15" s="11"/>
      <c r="K15" t="s" s="5">
        <v>125</v>
      </c>
      <c r="L15" s="12">
        <v>41510</v>
      </c>
      <c r="M15" t="s" s="5">
        <v>95</v>
      </c>
      <c r="N15" s="3"/>
    </row>
    <row r="16" ht="23" customHeight="1">
      <c r="A16" t="s" s="5">
        <v>138</v>
      </c>
      <c r="B16" s="9">
        <v>-28.8568943463829</v>
      </c>
      <c r="C16" s="9">
        <v>114.730641881306</v>
      </c>
      <c r="D16" t="s" s="5">
        <v>139</v>
      </c>
      <c r="E16" s="10">
        <v>11.84</v>
      </c>
      <c r="F16" t="s" s="5">
        <v>140</v>
      </c>
      <c r="G16" t="s" s="5">
        <v>141</v>
      </c>
      <c r="H16" t="s" s="5">
        <v>124</v>
      </c>
      <c r="I16" s="11"/>
      <c r="J16" s="11"/>
      <c r="K16" t="s" s="5">
        <v>125</v>
      </c>
      <c r="L16" s="12">
        <v>173885</v>
      </c>
      <c r="M16" t="s" s="5">
        <v>95</v>
      </c>
      <c r="N16" s="3"/>
    </row>
    <row r="17" ht="23" customHeight="1">
      <c r="A17" t="s" s="5">
        <v>142</v>
      </c>
      <c r="B17" s="9">
        <v>-33.4886964859348</v>
      </c>
      <c r="C17" s="9">
        <v>115.722761146628</v>
      </c>
      <c r="D17" t="s" s="5">
        <v>143</v>
      </c>
      <c r="E17" s="10">
        <v>0.55</v>
      </c>
      <c r="F17" t="s" s="5">
        <v>144</v>
      </c>
      <c r="G17" t="s" s="5">
        <v>116</v>
      </c>
      <c r="H17" t="s" s="5">
        <v>124</v>
      </c>
      <c r="I17" s="11"/>
      <c r="J17" s="11"/>
      <c r="K17" t="s" s="5">
        <v>125</v>
      </c>
      <c r="L17" s="12">
        <v>176867</v>
      </c>
      <c r="M17" t="s" s="5">
        <v>95</v>
      </c>
      <c r="N17" s="3"/>
    </row>
    <row r="18" ht="23" customHeight="1">
      <c r="A18" t="s" s="5">
        <v>145</v>
      </c>
      <c r="B18" s="9">
        <v>-25.293798058094</v>
      </c>
      <c r="C18" s="9">
        <v>113.928857529412</v>
      </c>
      <c r="D18" t="s" s="5">
        <v>121</v>
      </c>
      <c r="E18" s="10">
        <v>421.99</v>
      </c>
      <c r="F18" t="s" s="5">
        <v>122</v>
      </c>
      <c r="G18" t="s" s="5">
        <v>146</v>
      </c>
      <c r="H18" t="s" s="5">
        <v>124</v>
      </c>
      <c r="I18" s="11"/>
      <c r="J18" s="11"/>
      <c r="K18" t="s" s="5">
        <v>125</v>
      </c>
      <c r="L18" s="12">
        <v>58555</v>
      </c>
      <c r="M18" t="s" s="5">
        <v>95</v>
      </c>
      <c r="N18" s="3"/>
    </row>
    <row r="19" ht="23" customHeight="1">
      <c r="A19" t="s" s="5">
        <v>147</v>
      </c>
      <c r="B19" s="9">
        <v>-33.3708112848471</v>
      </c>
      <c r="C19" s="9">
        <v>116.201641428572</v>
      </c>
      <c r="D19" t="s" s="5">
        <v>148</v>
      </c>
      <c r="E19" s="10">
        <v>40.9</v>
      </c>
      <c r="F19" t="s" s="5">
        <v>149</v>
      </c>
      <c r="G19" t="s" s="5">
        <v>104</v>
      </c>
      <c r="H19" t="s" s="5">
        <v>124</v>
      </c>
      <c r="I19" s="11"/>
      <c r="J19" s="11"/>
      <c r="K19" t="s" s="5">
        <v>125</v>
      </c>
      <c r="L19" s="12">
        <v>156288</v>
      </c>
      <c r="M19" t="s" s="5">
        <v>95</v>
      </c>
      <c r="N19" s="3"/>
    </row>
    <row r="20" ht="23" customHeight="1">
      <c r="A20" t="s" s="5">
        <v>150</v>
      </c>
      <c r="B20" s="9">
        <v>-30.8026100314276</v>
      </c>
      <c r="C20" s="9">
        <v>121.447333935484</v>
      </c>
      <c r="D20" t="s" s="5">
        <v>151</v>
      </c>
      <c r="E20" s="10">
        <v>2.85</v>
      </c>
      <c r="F20" t="s" s="5">
        <v>152</v>
      </c>
      <c r="G20" t="s" s="5">
        <v>153</v>
      </c>
      <c r="H20" t="s" s="5">
        <v>124</v>
      </c>
      <c r="I20" s="11"/>
      <c r="J20" s="11"/>
      <c r="K20" t="s" s="5">
        <v>125</v>
      </c>
      <c r="L20" s="12">
        <v>90205</v>
      </c>
      <c r="M20" t="s" s="5">
        <v>95</v>
      </c>
      <c r="N20" s="3"/>
    </row>
    <row r="21" ht="23" customHeight="1">
      <c r="A21" t="s" s="5">
        <v>154</v>
      </c>
      <c r="B21" s="9">
        <v>-17.7996829406266</v>
      </c>
      <c r="C21" s="9">
        <v>122.281084892583</v>
      </c>
      <c r="D21" t="s" s="5">
        <v>155</v>
      </c>
      <c r="E21" s="10">
        <v>9.81</v>
      </c>
      <c r="F21" t="s" s="5">
        <v>156</v>
      </c>
      <c r="G21" t="s" s="5">
        <v>137</v>
      </c>
      <c r="H21" t="s" s="5">
        <v>124</v>
      </c>
      <c r="I21" s="11"/>
      <c r="J21" s="11"/>
      <c r="K21" t="s" s="5">
        <v>125</v>
      </c>
      <c r="L21" s="12">
        <v>186269</v>
      </c>
      <c r="M21" t="s" s="5">
        <v>95</v>
      </c>
      <c r="N21" s="3"/>
    </row>
    <row r="22" ht="12.9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</sheetData>
  <conditionalFormatting sqref="M2:M21">
    <cfRule type="containsText" dxfId="0" priority="1" stopIfTrue="1" text="ambiguous_carriageway">
      <formula>NOT(ISERROR(FIND(UPPER("ambiguous_carriageway"),UPPER(M2))))</formula>
      <formula>"ambiguous_carriageway"</formula>
    </cfRule>
  </conditionalFormatting>
  <dataValidations count="2">
    <dataValidation type="list" allowBlank="1" showInputMessage="1" showErrorMessage="1" sqref="H2:H21">
      <formula1>"Single,Left,Right"</formula1>
    </dataValidation>
    <dataValidation type="list" allowBlank="1" showInputMessage="1" showErrorMessage="1" sqref="K2:K21">
      <formula1>"observed,random"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