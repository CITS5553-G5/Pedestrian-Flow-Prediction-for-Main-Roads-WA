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d5009710a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b79581d1e4b57"/>
    <x:sheet xmlns:r="http://schemas.openxmlformats.org/officeDocument/2006/relationships" name="Site_Comparison" sheetId="2" r:id="R3ec4cd8f533a41f0"/>
    <x:sheet xmlns:r="http://schemas.openxmlformats.org/officeDocument/2006/relationships" name="Errors" sheetId="3" r:id="R8c59feb6c018463e"/>
    <x:sheet xmlns:r="http://schemas.openxmlformats.org/officeDocument/2006/relationships" name="Definitions" sheetId="4" r:id="Ra9774f7dced6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"/>
    <x:numFmt numFmtId="202" formatCode="0"/>
    <x:numFmt numFmtId="203" formatCode="0.0%"/>
  </x:numFmts>
  <x:fonts count="6">
    <x:font>
      <x:sz val="10"/>
      <x:color rgb="FF000000"/>
      <x:name val="Times New Roman"/>
      <x:family val="1"/>
    </x:font>
    <x:font>
      <x:sz val="10"/>
      <x:color rgb="FF000000"/>
      <x:name val="Times New Roman"/>
      <x:family val="1"/>
    </x:font>
    <x:font>
      <x:b/>
      <x:sz val="10"/>
      <x:color rgb="FF000000"/>
      <x:name val="Times New Roman"/>
      <x:family val="1"/>
    </x:font>
    <x:font>
      <x:b/>
      <x:sz val="14"/>
      <x:color rgb="FF000000"/>
      <x:name val="Times New Roman"/>
      <x:family val="1"/>
    </x:font>
    <x:font>
      <x:i/>
      <x:sz val="9"/>
      <x:color rgb="FF404040"/>
      <x:name val="Times New Roman"/>
      <x:family val="1"/>
    </x:font>
    <x:font>
      <x:i/>
      <x:sz val="10"/>
      <x:color rgb="FF000000"/>
      <x:name val="Times New Roman"/>
      <x:family val="1"/>
    </x:font>
  </x:fonts>
  <x:fills count="4">
    <x:fill>
      <x:patternFill patternType="none"/>
    </x:fill>
    <x:fill>
      <x:patternFill patternType="gray125"/>
    </x:fill>
    <x:fill>
      <x:patternFill patternType="none"/>
    </x:fill>
    <x:fill>
      <x:patternFill patternType="none"/>
    </x:fill>
  </x:fills>
  <x:borders count="4">
    <x:border/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/>
      <x:bottom style="thin">
        <x:color rgb="FF7F7F7F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0000"/>
      </x:font>
      <x:fill>
        <x:patternFill>
          <x:bgColor rgb="FFD9D9D9"/>
        </x:patternFill>
      </x:fill>
    </x:dxf>
    <x:dxf>
      <x:font>
        <x:b/>
        <x:color rgb="FF000000"/>
      </x:font>
      <x:fill>
        <x:patternFill>
          <x:bgColor rgb="FF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bdda897ee4577" /><Relationship Type="http://schemas.openxmlformats.org/officeDocument/2006/relationships/theme" Target="/xl/theme/theme1.xml" Id="R82c7f0a28762479a" /><Relationship Type="http://schemas.microsoft.com/office/2022/11/relationships/FeaturePropertyBag" Target="/xl/featurePropertyBag/featurePropertyBag.xml" Id="R1ca2b34a10c64bc5" /><Relationship Type="http://schemas.openxmlformats.org/officeDocument/2006/relationships/sharedStrings" Target="/xl/sharedStrings.xml" Id="Rfd43753302b74a83" /><Relationship Type="http://schemas.openxmlformats.org/officeDocument/2006/relationships/worksheet" Target="/xl/worksheets/sheet1.xml" Id="R3e1b79581d1e4b57" /><Relationship Type="http://schemas.openxmlformats.org/officeDocument/2006/relationships/worksheet" Target="/xl/worksheets/sheet2.xml" Id="R3ec4cd8f533a41f0" /><Relationship Type="http://schemas.openxmlformats.org/officeDocument/2006/relationships/worksheet" Target="/xl/worksheets/sheet3.xml" Id="R8c59feb6c018463e" /><Relationship Type="http://schemas.openxmlformats.org/officeDocument/2006/relationships/worksheet" Target="/xl/worksheets/sheet4.xml" Id="Ra9774f7dced643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8ea1e2c7824c31" /><Relationship Type="http://schemas.openxmlformats.org/officeDocument/2006/relationships/chart" Target="/xl/drawings/charts/chart2.xml" Id="Re6be9afef83a43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000" b="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Cross-road (n = 45)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Model (OOF)</c:v>
          </c:tx>
          <c:spPr>
            <a:ln xmlns:a="http://schemas.openxmlformats.org/drawingml/2006/main" w="19050">
              <a:noFill/>
            </a:ln>
          </c:spPr>
          <c:marker>
            <c:symbol val="circle"/>
            <c:size val="6"/>
            <c:spPr>
              <a:solidFill xmlns:a="http://schemas.openxmlformats.org/drawingml/2006/main">
                <a:srgbClr val="1F4E79"/>
              </a:solidFill>
              <a:ln xmlns:a="http://schemas.openxmlformats.org/drawingml/2006/main" w="6350">
                <a:solidFill>
                  <a:srgbClr val="FFFFFF"/>
                </a:solidFill>
              </a:ln>
            </c:spPr>
          </c:marker>
          <c:xVal>
            <c:numRef>
              <c:f>'Errors'!$O$2:$O$46</c:f>
              <c:numCache>
                <c:formatCode>0.00</c:formatCode>
                <c:ptCount val="45"/>
                <c:pt idx="0">
                  <c:v>0.333333333333333</c:v>
                </c:pt>
                <c:pt idx="1">
                  <c:v>4</c:v>
                </c:pt>
                <c:pt idx="2">
                  <c:v>47</c:v>
                </c:pt>
                <c:pt idx="3">
                  <c:v>16</c:v>
                </c:pt>
                <c:pt idx="4">
                  <c:v>57.3333333333333</c:v>
                </c:pt>
                <c:pt idx="5">
                  <c:v>52</c:v>
                </c:pt>
                <c:pt idx="6">
                  <c:v>46.6666666666667</c:v>
                </c:pt>
                <c:pt idx="7">
                  <c:v>34.3333333333333</c:v>
                </c:pt>
                <c:pt idx="8">
                  <c:v>26.3333333333333</c:v>
                </c:pt>
                <c:pt idx="9">
                  <c:v>96.6666666666667</c:v>
                </c:pt>
                <c:pt idx="10">
                  <c:v>192.333333333333</c:v>
                </c:pt>
                <c:pt idx="11">
                  <c:v>52</c:v>
                </c:pt>
                <c:pt idx="12">
                  <c:v>3</c:v>
                </c:pt>
                <c:pt idx="13">
                  <c:v>32.3333333333333</c:v>
                </c:pt>
                <c:pt idx="14">
                  <c:v>15</c:v>
                </c:pt>
                <c:pt idx="15">
                  <c:v>0.333333333333333</c:v>
                </c:pt>
                <c:pt idx="16">
                  <c:v>8.33333333333333</c:v>
                </c:pt>
                <c:pt idx="17">
                  <c:v>10.6666666666667</c:v>
                </c:pt>
                <c:pt idx="18">
                  <c:v>5.33333333333333</c:v>
                </c:pt>
                <c:pt idx="19">
                  <c:v>87</c:v>
                </c:pt>
                <c:pt idx="20">
                  <c:v>0.666666666666667</c:v>
                </c:pt>
                <c:pt idx="21">
                  <c:v>0</c:v>
                </c:pt>
                <c:pt idx="22">
                  <c:v>2.66666666666667</c:v>
                </c:pt>
                <c:pt idx="23">
                  <c:v>3.33333333333333</c:v>
                </c:pt>
                <c:pt idx="24">
                  <c:v>9.33333333333333</c:v>
                </c:pt>
                <c:pt idx="25">
                  <c:v>5.66666666666667</c:v>
                </c:pt>
                <c:pt idx="26">
                  <c:v>107.333333333333</c:v>
                </c:pt>
                <c:pt idx="27">
                  <c:v>1.66666666666667</c:v>
                </c:pt>
                <c:pt idx="28">
                  <c:v>128.666666666667</c:v>
                </c:pt>
                <c:pt idx="29">
                  <c:v>18.6666666666667</c:v>
                </c:pt>
                <c:pt idx="30">
                  <c:v>10</c:v>
                </c:pt>
                <c:pt idx="31">
                  <c:v>4.33333333333333</c:v>
                </c:pt>
                <c:pt idx="32">
                  <c:v>3</c:v>
                </c:pt>
                <c:pt idx="33">
                  <c:v>7.33333333333333</c:v>
                </c:pt>
                <c:pt idx="34">
                  <c:v>3.33333333333333</c:v>
                </c:pt>
                <c:pt idx="35">
                  <c:v>32</c:v>
                </c:pt>
                <c:pt idx="36">
                  <c:v>1</c:v>
                </c:pt>
                <c:pt idx="37">
                  <c:v>11.3333333333333</c:v>
                </c:pt>
                <c:pt idx="38">
                  <c:v>1.66666666666667</c:v>
                </c:pt>
                <c:pt idx="39">
                  <c:v>7.33333333333333</c:v>
                </c:pt>
                <c:pt idx="40">
                  <c:v>5.66666666666667</c:v>
                </c:pt>
                <c:pt idx="41">
                  <c:v>5.66666666666667</c:v>
                </c:pt>
                <c:pt idx="42">
                  <c:v>4.66666666666667</c:v>
                </c:pt>
                <c:pt idx="43">
                  <c:v>16.6666666666667</c:v>
                </c:pt>
                <c:pt idx="44">
                  <c:v>6</c:v>
                </c:pt>
              </c:numCache>
            </c:numRef>
          </c:xVal>
          <c:yVal>
            <c:numRef>
              <c:f>'Errors'!$P$2:$P$46</c:f>
              <c:numCache>
                <c:formatCode>0.00</c:formatCode>
                <c:ptCount val="45"/>
                <c:pt idx="0">
                  <c:v>2.98294093446091</c:v>
                </c:pt>
                <c:pt idx="1">
                  <c:v>9.50226526781901</c:v>
                </c:pt>
                <c:pt idx="2">
                  <c:v>30.3619443577369</c:v>
                </c:pt>
                <c:pt idx="3">
                  <c:v>2.22473358865958</c:v>
                </c:pt>
                <c:pt idx="4">
                  <c:v>37.4460902494697</c:v>
                </c:pt>
                <c:pt idx="5">
                  <c:v>4.15808734353255</c:v>
                </c:pt>
                <c:pt idx="6">
                  <c:v>37.4460902494697</c:v>
                </c:pt>
                <c:pt idx="7">
                  <c:v>30.608277747067</c:v>
                </c:pt>
                <c:pt idx="8">
                  <c:v>28.5408023629786</c:v>
                </c:pt>
                <c:pt idx="9">
                  <c:v>107.141274737072</c:v>
                </c:pt>
                <c:pt idx="10">
                  <c:v>89.4091435851842</c:v>
                </c:pt>
                <c:pt idx="11">
                  <c:v>38.3101718276473</c:v>
                </c:pt>
                <c:pt idx="12">
                  <c:v>20.862897982185</c:v>
                </c:pt>
                <c:pt idx="13">
                  <c:v>20.862897982185</c:v>
                </c:pt>
                <c:pt idx="14">
                  <c:v>9.55426639240122</c:v>
                </c:pt>
                <c:pt idx="15">
                  <c:v>3.61215401171407</c:v>
                </c:pt>
                <c:pt idx="16">
                  <c:v>4.24575868254305</c:v>
                </c:pt>
                <c:pt idx="17">
                  <c:v>3.12415235779679</c:v>
                </c:pt>
                <c:pt idx="18">
                  <c:v>4.02599004490522</c:v>
                </c:pt>
                <c:pt idx="19">
                  <c:v>2.7103845668182</c:v>
                </c:pt>
                <c:pt idx="20">
                  <c:v>3.49611325043646</c:v>
                </c:pt>
                <c:pt idx="21">
                  <c:v>4.7403904808958</c:v>
                </c:pt>
                <c:pt idx="22">
                  <c:v>7.15050673300123</c:v>
                </c:pt>
                <c:pt idx="23">
                  <c:v>6.75834584835355</c:v>
                </c:pt>
                <c:pt idx="24">
                  <c:v>5.06639828864138</c:v>
                </c:pt>
                <c:pt idx="25">
                  <c:v>7.15050673300123</c:v>
                </c:pt>
                <c:pt idx="26">
                  <c:v>6.18367424131222</c:v>
                </c:pt>
                <c:pt idx="27">
                  <c:v>3.43243059482097</c:v>
                </c:pt>
                <c:pt idx="28">
                  <c:v>48.7894130963157</c:v>
                </c:pt>
                <c:pt idx="29">
                  <c:v>7.68675409190811</c:v>
                </c:pt>
                <c:pt idx="30">
                  <c:v>7.15050673300123</c:v>
                </c:pt>
                <c:pt idx="31">
                  <c:v>23.8884798125594</c:v>
                </c:pt>
                <c:pt idx="32">
                  <c:v>6.75834584835355</c:v>
                </c:pt>
                <c:pt idx="33">
                  <c:v>9.77133095840446</c:v>
                </c:pt>
                <c:pt idx="34">
                  <c:v>4.90613253917071</c:v>
                </c:pt>
                <c:pt idx="35">
                  <c:v>28.5408023629786</c:v>
                </c:pt>
                <c:pt idx="36">
                  <c:v>3.43243059482097</c:v>
                </c:pt>
                <c:pt idx="37">
                  <c:v>4.90613253917071</c:v>
                </c:pt>
                <c:pt idx="38">
                  <c:v>7.15050673300123</c:v>
                </c:pt>
                <c:pt idx="39">
                  <c:v>40.1299743930667</c:v>
                </c:pt>
                <c:pt idx="40">
                  <c:v>4.54685915468433</c:v>
                </c:pt>
                <c:pt idx="41">
                  <c:v>7.68675409190811</c:v>
                </c:pt>
                <c:pt idx="42">
                  <c:v>3.12415235779679</c:v>
                </c:pt>
                <c:pt idx="43">
                  <c:v>6.00403518094301</c:v>
                </c:pt>
                <c:pt idx="44">
                  <c:v>3.61215401171407</c:v>
                </c:pt>
              </c:numCache>
            </c:numRef>
          </c:yVal>
        </c:ser>
        <c:ser>
          <c:idx val="1"/>
          <c:order val="1"/>
          <c:tx>
            <c:v>Existing estimate (recoded)</c:v>
          </c:tx>
          <c:spPr>
            <a:ln xmlns:a="http://schemas.openxmlformats.org/drawingml/2006/main" w="19050">
              <a:noFill/>
            </a:ln>
          </c:spPr>
          <c:marker>
            <c:symbol val="triangle"/>
            <c:size val="7"/>
            <c:spPr>
              <a:noFill xmlns:a="http://schemas.openxmlformats.org/drawingml/2006/main"/>
              <a:ln xmlns:a="http://schemas.openxmlformats.org/drawingml/2006/main" w="12700">
                <a:solidFill>
                  <a:srgbClr val="A23B2A"/>
                </a:solidFill>
              </a:ln>
            </c:spPr>
          </c:marker>
          <c:xVal>
            <c:numRef>
              <c:f>'Errors'!$O$2:$O$46</c:f>
              <c:numCache>
                <c:formatCode>0.00</c:formatCode>
                <c:ptCount val="45"/>
                <c:pt idx="0">
                  <c:v>0.333333333333333</c:v>
                </c:pt>
                <c:pt idx="1">
                  <c:v>4</c:v>
                </c:pt>
                <c:pt idx="2">
                  <c:v>47</c:v>
                </c:pt>
                <c:pt idx="3">
                  <c:v>16</c:v>
                </c:pt>
                <c:pt idx="4">
                  <c:v>57.3333333333333</c:v>
                </c:pt>
                <c:pt idx="5">
                  <c:v>52</c:v>
                </c:pt>
                <c:pt idx="6">
                  <c:v>46.6666666666667</c:v>
                </c:pt>
                <c:pt idx="7">
                  <c:v>34.3333333333333</c:v>
                </c:pt>
                <c:pt idx="8">
                  <c:v>26.3333333333333</c:v>
                </c:pt>
                <c:pt idx="9">
                  <c:v>96.6666666666667</c:v>
                </c:pt>
                <c:pt idx="10">
                  <c:v>192.333333333333</c:v>
                </c:pt>
                <c:pt idx="11">
                  <c:v>52</c:v>
                </c:pt>
                <c:pt idx="12">
                  <c:v>3</c:v>
                </c:pt>
                <c:pt idx="13">
                  <c:v>32.3333333333333</c:v>
                </c:pt>
                <c:pt idx="14">
                  <c:v>15</c:v>
                </c:pt>
                <c:pt idx="15">
                  <c:v>0.333333333333333</c:v>
                </c:pt>
                <c:pt idx="16">
                  <c:v>8.33333333333333</c:v>
                </c:pt>
                <c:pt idx="17">
                  <c:v>10.6666666666667</c:v>
                </c:pt>
                <c:pt idx="18">
                  <c:v>5.33333333333333</c:v>
                </c:pt>
                <c:pt idx="19">
                  <c:v>87</c:v>
                </c:pt>
                <c:pt idx="20">
                  <c:v>0.666666666666667</c:v>
                </c:pt>
                <c:pt idx="21">
                  <c:v>0</c:v>
                </c:pt>
                <c:pt idx="22">
                  <c:v>2.66666666666667</c:v>
                </c:pt>
                <c:pt idx="23">
                  <c:v>3.33333333333333</c:v>
                </c:pt>
                <c:pt idx="24">
                  <c:v>9.33333333333333</c:v>
                </c:pt>
                <c:pt idx="25">
                  <c:v>5.66666666666667</c:v>
                </c:pt>
                <c:pt idx="26">
                  <c:v>107.333333333333</c:v>
                </c:pt>
                <c:pt idx="27">
                  <c:v>1.66666666666667</c:v>
                </c:pt>
                <c:pt idx="28">
                  <c:v>128.666666666667</c:v>
                </c:pt>
                <c:pt idx="29">
                  <c:v>18.6666666666667</c:v>
                </c:pt>
                <c:pt idx="30">
                  <c:v>10</c:v>
                </c:pt>
                <c:pt idx="31">
                  <c:v>4.33333333333333</c:v>
                </c:pt>
                <c:pt idx="32">
                  <c:v>3</c:v>
                </c:pt>
                <c:pt idx="33">
                  <c:v>7.33333333333333</c:v>
                </c:pt>
                <c:pt idx="34">
                  <c:v>3.33333333333333</c:v>
                </c:pt>
                <c:pt idx="35">
                  <c:v>32</c:v>
                </c:pt>
                <c:pt idx="36">
                  <c:v>1</c:v>
                </c:pt>
                <c:pt idx="37">
                  <c:v>11.3333333333333</c:v>
                </c:pt>
                <c:pt idx="38">
                  <c:v>1.66666666666667</c:v>
                </c:pt>
                <c:pt idx="39">
                  <c:v>7.33333333333333</c:v>
                </c:pt>
                <c:pt idx="40">
                  <c:v>5.66666666666667</c:v>
                </c:pt>
                <c:pt idx="41">
                  <c:v>5.66666666666667</c:v>
                </c:pt>
                <c:pt idx="42">
                  <c:v>4.66666666666667</c:v>
                </c:pt>
                <c:pt idx="43">
                  <c:v>16.6666666666667</c:v>
                </c:pt>
                <c:pt idx="44">
                  <c:v>6</c:v>
                </c:pt>
              </c:numCache>
            </c:numRef>
          </c:xVal>
          <c:yVal>
            <c:numRef>
              <c:f>'Errors'!$Q$2:$Q$46</c:f>
              <c:numCache>
                <c:formatCode>0.00</c:formatCode>
                <c:ptCount val="45"/>
                <c:pt idx="0">
                  <c:v>0</c:v>
                </c:pt>
                <c:pt idx="1">
                  <c:v>3</c:v>
                </c:pt>
                <c:pt idx="2">
                  <c:v>22.6666666666667</c:v>
                </c:pt>
                <c:pt idx="3">
                  <c:v>7</c:v>
                </c:pt>
                <c:pt idx="4">
                  <c:v>63.75</c:v>
                </c:pt>
                <c:pt idx="5">
                  <c:v>22.6666666666667</c:v>
                </c:pt>
                <c:pt idx="6">
                  <c:v>38</c:v>
                </c:pt>
                <c:pt idx="7">
                  <c:v>26.5</c:v>
                </c:pt>
                <c:pt idx="8">
                  <c:v>22.6666666666667</c:v>
                </c:pt>
                <c:pt idx="9">
                  <c:v>22.6666666666667</c:v>
                </c:pt>
                <c:pt idx="10">
                  <c:v>35</c:v>
                </c:pt>
                <c:pt idx="11">
                  <c:v>22.6666666666667</c:v>
                </c:pt>
                <c:pt idx="12">
                  <c:v>15</c:v>
                </c:pt>
                <c:pt idx="13">
                  <c:v>32.25</c:v>
                </c:pt>
                <c:pt idx="14">
                  <c:v>15</c:v>
                </c:pt>
                <c:pt idx="15">
                  <c:v>16.5</c:v>
                </c:pt>
                <c:pt idx="16">
                  <c:v>18.6666666666667</c:v>
                </c:pt>
                <c:pt idx="17">
                  <c:v>2</c:v>
                </c:pt>
                <c:pt idx="18">
                  <c:v>2</c:v>
                </c:pt>
                <c:pt idx="19">
                  <c:v>15</c:v>
                </c:pt>
                <c:pt idx="20">
                  <c:v>3</c:v>
                </c:pt>
                <c:pt idx="21">
                  <c:v>7</c:v>
                </c:pt>
                <c:pt idx="22">
                  <c:v>15</c:v>
                </c:pt>
                <c:pt idx="23">
                  <c:v>15</c:v>
                </c:pt>
                <c:pt idx="24">
                  <c:v>7</c:v>
                </c:pt>
                <c:pt idx="25">
                  <c:v>3</c:v>
                </c:pt>
                <c:pt idx="26">
                  <c:v>7</c:v>
                </c:pt>
                <c:pt idx="27">
                  <c:v>3</c:v>
                </c:pt>
                <c:pt idx="28">
                  <c:v>30.3333333333333</c:v>
                </c:pt>
                <c:pt idx="29">
                  <c:v>3</c:v>
                </c:pt>
                <c:pt idx="30">
                  <c:v>20.75</c:v>
                </c:pt>
                <c:pt idx="31">
                  <c:v>26.5</c:v>
                </c:pt>
                <c:pt idx="32">
                  <c:v>3</c:v>
                </c:pt>
                <c:pt idx="33">
                  <c:v>11</c:v>
                </c:pt>
                <c:pt idx="34">
                  <c:v>3</c:v>
                </c:pt>
                <c:pt idx="35">
                  <c:v>22.6666666666667</c:v>
                </c:pt>
                <c:pt idx="36">
                  <c:v>3</c:v>
                </c:pt>
                <c:pt idx="37">
                  <c:v>15</c:v>
                </c:pt>
                <c:pt idx="38">
                  <c:v>7</c:v>
                </c:pt>
                <c:pt idx="39">
                  <c:v>10</c:v>
                </c:pt>
                <c:pt idx="40">
                  <c:v>3</c:v>
                </c:pt>
                <c:pt idx="41">
                  <c:v>15</c:v>
                </c:pt>
                <c:pt idx="42">
                  <c:v>3</c:v>
                </c:pt>
                <c:pt idx="43">
                  <c:v>15</c:v>
                </c:pt>
                <c:pt idx="44">
                  <c:v>15</c:v>
                </c:pt>
              </c:numCache>
            </c:numRef>
          </c:yVal>
        </c:ser>
        <c:ser>
          <c:idx val="2"/>
          <c:order val="2"/>
          <c:tx>
            <c:v>1:1 reference</c:v>
          </c:tx>
          <c:spPr>
            <a:ln xmlns:a="http://schemas.openxmlformats.org/drawingml/2006/main" w="9525">
              <a:solidFill>
                <a:srgbClr val="595959"/>
              </a:solidFill>
              <a:prstDash val="dash"/>
            </a:ln>
          </c:spPr>
          <c:marker>
            <c:symbol val="none"/>
          </c:marker>
          <c:xVal>
            <c:numRef>
              <c:f>'Errors'!$O$2:$O$46</c:f>
              <c:numCache>
                <c:formatCode>0.00</c:formatCode>
                <c:ptCount val="45"/>
                <c:pt idx="0">
                  <c:v>0.333333333333333</c:v>
                </c:pt>
                <c:pt idx="1">
                  <c:v>4</c:v>
                </c:pt>
                <c:pt idx="2">
                  <c:v>47</c:v>
                </c:pt>
                <c:pt idx="3">
                  <c:v>16</c:v>
                </c:pt>
                <c:pt idx="4">
                  <c:v>57.3333333333333</c:v>
                </c:pt>
                <c:pt idx="5">
                  <c:v>52</c:v>
                </c:pt>
                <c:pt idx="6">
                  <c:v>46.6666666666667</c:v>
                </c:pt>
                <c:pt idx="7">
                  <c:v>34.3333333333333</c:v>
                </c:pt>
                <c:pt idx="8">
                  <c:v>26.3333333333333</c:v>
                </c:pt>
                <c:pt idx="9">
                  <c:v>96.6666666666667</c:v>
                </c:pt>
                <c:pt idx="10">
                  <c:v>192.333333333333</c:v>
                </c:pt>
                <c:pt idx="11">
                  <c:v>52</c:v>
                </c:pt>
                <c:pt idx="12">
                  <c:v>3</c:v>
                </c:pt>
                <c:pt idx="13">
                  <c:v>32.3333333333333</c:v>
                </c:pt>
                <c:pt idx="14">
                  <c:v>15</c:v>
                </c:pt>
                <c:pt idx="15">
                  <c:v>0.333333333333333</c:v>
                </c:pt>
                <c:pt idx="16">
                  <c:v>8.33333333333333</c:v>
                </c:pt>
                <c:pt idx="17">
                  <c:v>10.6666666666667</c:v>
                </c:pt>
                <c:pt idx="18">
                  <c:v>5.33333333333333</c:v>
                </c:pt>
                <c:pt idx="19">
                  <c:v>87</c:v>
                </c:pt>
                <c:pt idx="20">
                  <c:v>0.666666666666667</c:v>
                </c:pt>
                <c:pt idx="21">
                  <c:v>0</c:v>
                </c:pt>
                <c:pt idx="22">
                  <c:v>2.66666666666667</c:v>
                </c:pt>
                <c:pt idx="23">
                  <c:v>3.33333333333333</c:v>
                </c:pt>
                <c:pt idx="24">
                  <c:v>9.33333333333333</c:v>
                </c:pt>
                <c:pt idx="25">
                  <c:v>5.66666666666667</c:v>
                </c:pt>
                <c:pt idx="26">
                  <c:v>107.333333333333</c:v>
                </c:pt>
                <c:pt idx="27">
                  <c:v>1.66666666666667</c:v>
                </c:pt>
                <c:pt idx="28">
                  <c:v>128.666666666667</c:v>
                </c:pt>
                <c:pt idx="29">
                  <c:v>18.6666666666667</c:v>
                </c:pt>
                <c:pt idx="30">
                  <c:v>10</c:v>
                </c:pt>
                <c:pt idx="31">
                  <c:v>4.33333333333333</c:v>
                </c:pt>
                <c:pt idx="32">
                  <c:v>3</c:v>
                </c:pt>
                <c:pt idx="33">
                  <c:v>7.33333333333333</c:v>
                </c:pt>
                <c:pt idx="34">
                  <c:v>3.33333333333333</c:v>
                </c:pt>
                <c:pt idx="35">
                  <c:v>32</c:v>
                </c:pt>
                <c:pt idx="36">
                  <c:v>1</c:v>
                </c:pt>
                <c:pt idx="37">
                  <c:v>11.3333333333333</c:v>
                </c:pt>
                <c:pt idx="38">
                  <c:v>1.66666666666667</c:v>
                </c:pt>
                <c:pt idx="39">
                  <c:v>7.33333333333333</c:v>
                </c:pt>
                <c:pt idx="40">
                  <c:v>5.66666666666667</c:v>
                </c:pt>
                <c:pt idx="41">
                  <c:v>5.66666666666667</c:v>
                </c:pt>
                <c:pt idx="42">
                  <c:v>4.66666666666667</c:v>
                </c:pt>
                <c:pt idx="43">
                  <c:v>16.6666666666667</c:v>
                </c:pt>
                <c:pt idx="44">
                  <c:v>6</c:v>
                </c:pt>
              </c:numCache>
            </c:numRef>
          </c:xVal>
          <c:yVal>
            <c:numRef>
              <c:f>'Errors'!$R$2:$R$46</c:f>
              <c:numCache>
                <c:formatCode>0.00</c:formatCode>
                <c:ptCount val="45"/>
                <c:pt idx="0">
                  <c:v>0.333333333333333</c:v>
                </c:pt>
                <c:pt idx="1">
                  <c:v>4</c:v>
                </c:pt>
                <c:pt idx="2">
                  <c:v>47</c:v>
                </c:pt>
                <c:pt idx="3">
                  <c:v>16</c:v>
                </c:pt>
                <c:pt idx="4">
                  <c:v>57.3333333333333</c:v>
                </c:pt>
                <c:pt idx="5">
                  <c:v>52</c:v>
                </c:pt>
                <c:pt idx="6">
                  <c:v>46.6666666666667</c:v>
                </c:pt>
                <c:pt idx="7">
                  <c:v>34.3333333333333</c:v>
                </c:pt>
                <c:pt idx="8">
                  <c:v>26.3333333333333</c:v>
                </c:pt>
                <c:pt idx="9">
                  <c:v>96.6666666666667</c:v>
                </c:pt>
                <c:pt idx="10">
                  <c:v>192.333333333333</c:v>
                </c:pt>
                <c:pt idx="11">
                  <c:v>52</c:v>
                </c:pt>
                <c:pt idx="12">
                  <c:v>3</c:v>
                </c:pt>
                <c:pt idx="13">
                  <c:v>32.3333333333333</c:v>
                </c:pt>
                <c:pt idx="14">
                  <c:v>15</c:v>
                </c:pt>
                <c:pt idx="15">
                  <c:v>0.333333333333333</c:v>
                </c:pt>
                <c:pt idx="16">
                  <c:v>8.33333333333333</c:v>
                </c:pt>
                <c:pt idx="17">
                  <c:v>10.6666666666667</c:v>
                </c:pt>
                <c:pt idx="18">
                  <c:v>5.33333333333333</c:v>
                </c:pt>
                <c:pt idx="19">
                  <c:v>87</c:v>
                </c:pt>
                <c:pt idx="20">
                  <c:v>0.666666666666667</c:v>
                </c:pt>
                <c:pt idx="21">
                  <c:v>0</c:v>
                </c:pt>
                <c:pt idx="22">
                  <c:v>2.66666666666667</c:v>
                </c:pt>
                <c:pt idx="23">
                  <c:v>3.33333333333333</c:v>
                </c:pt>
                <c:pt idx="24">
                  <c:v>9.33333333333333</c:v>
                </c:pt>
                <c:pt idx="25">
                  <c:v>5.66666666666667</c:v>
                </c:pt>
                <c:pt idx="26">
                  <c:v>107.333333333333</c:v>
                </c:pt>
                <c:pt idx="27">
                  <c:v>1.66666666666667</c:v>
                </c:pt>
                <c:pt idx="28">
                  <c:v>128.666666666667</c:v>
                </c:pt>
                <c:pt idx="29">
                  <c:v>18.6666666666667</c:v>
                </c:pt>
                <c:pt idx="30">
                  <c:v>10</c:v>
                </c:pt>
                <c:pt idx="31">
                  <c:v>4.33333333333333</c:v>
                </c:pt>
                <c:pt idx="32">
                  <c:v>3</c:v>
                </c:pt>
                <c:pt idx="33">
                  <c:v>7.33333333333333</c:v>
                </c:pt>
                <c:pt idx="34">
                  <c:v>3.33333333333333</c:v>
                </c:pt>
                <c:pt idx="35">
                  <c:v>32</c:v>
                </c:pt>
                <c:pt idx="36">
                  <c:v>1</c:v>
                </c:pt>
                <c:pt idx="37">
                  <c:v>11.3333333333333</c:v>
                </c:pt>
                <c:pt idx="38">
                  <c:v>1.66666666666667</c:v>
                </c:pt>
                <c:pt idx="39">
                  <c:v>7.33333333333333</c:v>
                </c:pt>
                <c:pt idx="40">
                  <c:v>5.66666666666667</c:v>
                </c:pt>
                <c:pt idx="41">
                  <c:v>5.66666666666667</c:v>
                </c:pt>
                <c:pt idx="42">
                  <c:v>4.66666666666667</c:v>
                </c:pt>
                <c:pt idx="43">
                  <c:v>16.6666666666667</c:v>
                </c:pt>
                <c:pt idx="44">
                  <c:v>6</c:v>
                </c:pt>
              </c:numCache>
            </c:numRef>
          </c:yVal>
        </c:ser>
        <c:axId val="48650112"/>
        <c:axId val="48672768"/>
      </c:scatterChart>
      <c:valAx>
        <c:axId val="48650112"/>
        <c:scaling>
          <c:orientation val="minMax"/>
          <c:max val="200"/>
          <c:min val="0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rPr>
                  <a:t>Observed (pedestrians/hour)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xmlns:a="http://schemas.openxmlformats.org/drawingml/2006/main" w="9525">
            <a:solidFill>
              <a:srgbClr val="000000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 val="autoZero"/>
        <c:crossBetween val="midCat"/>
      </c:valAx>
      <c:valAx>
        <c:axId val="48672768"/>
        <c:scaling>
          <c:orientation val="minMax"/>
          <c:max val="200"/>
          <c:min val="0"/>
        </c:scaling>
        <c:delete val="0"/>
        <c:axPos val="l"/>
        <c:title>
          <c:tx>
            <c: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rPr>
                  <a:t>Estimated (pedestrians/hour)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xmlns:a="http://schemas.openxmlformats.org/drawingml/2006/main" w="9525">
            <a:solidFill>
              <a:srgbClr val="000000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</c:valAx>
      <c:spPr>
        <a:noFill xmlns:a="http://schemas.openxmlformats.org/drawingml/2006/main"/>
        <a:ln xmlns:a="http://schemas.openxmlformats.org/drawingml/2006/main" w="9525">
          <a:solidFill>
            <a:srgbClr val="000000"/>
          </a:solidFill>
        </a:ln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>
      <a:noFill/>
    </a:ln>
  </c:spPr>
  <c: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 b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000" b="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Along-road (n = 43)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Model (OOF)</c:v>
          </c:tx>
          <c:spPr>
            <a:ln xmlns:a="http://schemas.openxmlformats.org/drawingml/2006/main" w="19050">
              <a:noFill/>
            </a:ln>
          </c:spPr>
          <c:marker>
            <c:symbol val="circle"/>
            <c:size val="6"/>
            <c:spPr>
              <a:solidFill xmlns:a="http://schemas.openxmlformats.org/drawingml/2006/main">
                <a:srgbClr val="1F4E79"/>
              </a:solidFill>
              <a:ln xmlns:a="http://schemas.openxmlformats.org/drawingml/2006/main" w="6350">
                <a:solidFill>
                  <a:srgbClr val="FFFFFF"/>
                </a:solidFill>
              </a:ln>
            </c:spPr>
          </c:marker>
          <c:xVal>
            <c:numRef>
              <c:f>'Errors'!$T$2:$T$44</c:f>
              <c:numCache>
                <c:formatCode>0.00</c:formatCode>
                <c:ptCount val="43"/>
                <c:pt idx="0">
                  <c:v>12.3333333333333</c:v>
                </c:pt>
                <c:pt idx="1">
                  <c:v>7.66666666666667</c:v>
                </c:pt>
                <c:pt idx="2">
                  <c:v>101.333333333333</c:v>
                </c:pt>
                <c:pt idx="3">
                  <c:v>11</c:v>
                </c:pt>
                <c:pt idx="4">
                  <c:v>108</c:v>
                </c:pt>
                <c:pt idx="5">
                  <c:v>21.3333333333333</c:v>
                </c:pt>
                <c:pt idx="6">
                  <c:v>52.3333333333333</c:v>
                </c:pt>
                <c:pt idx="7">
                  <c:v>53</c:v>
                </c:pt>
                <c:pt idx="8">
                  <c:v>13</c:v>
                </c:pt>
                <c:pt idx="9">
                  <c:v>349.666666666667</c:v>
                </c:pt>
                <c:pt idx="10">
                  <c:v>328.666666666667</c:v>
                </c:pt>
                <c:pt idx="11">
                  <c:v>91.6666666666667</c:v>
                </c:pt>
                <c:pt idx="12">
                  <c:v>12.3333333333333</c:v>
                </c:pt>
                <c:pt idx="13">
                  <c:v>30.6666666666667</c:v>
                </c:pt>
                <c:pt idx="14">
                  <c:v>30.6666666666667</c:v>
                </c:pt>
                <c:pt idx="15">
                  <c:v>10</c:v>
                </c:pt>
                <c:pt idx="16">
                  <c:v>10</c:v>
                </c:pt>
                <c:pt idx="17">
                  <c:v>15.6666666666667</c:v>
                </c:pt>
                <c:pt idx="18">
                  <c:v>17.3333333333333</c:v>
                </c:pt>
                <c:pt idx="19">
                  <c:v>0.666666666666667</c:v>
                </c:pt>
                <c:pt idx="20">
                  <c:v>1.33333333333333</c:v>
                </c:pt>
                <c:pt idx="21">
                  <c:v>28</c:v>
                </c:pt>
                <c:pt idx="22">
                  <c:v>11.6666666666667</c:v>
                </c:pt>
                <c:pt idx="23">
                  <c:v>10.6666666666667</c:v>
                </c:pt>
                <c:pt idx="24">
                  <c:v>1.66666666666667</c:v>
                </c:pt>
                <c:pt idx="25">
                  <c:v>137.333333333333</c:v>
                </c:pt>
                <c:pt idx="26">
                  <c:v>3.66666666666667</c:v>
                </c:pt>
                <c:pt idx="27">
                  <c:v>126.333333333333</c:v>
                </c:pt>
                <c:pt idx="28">
                  <c:v>37.3333333333333</c:v>
                </c:pt>
                <c:pt idx="29">
                  <c:v>24</c:v>
                </c:pt>
                <c:pt idx="30">
                  <c:v>14.3333333333333</c:v>
                </c:pt>
                <c:pt idx="31">
                  <c:v>14.3333333333333</c:v>
                </c:pt>
                <c:pt idx="32">
                  <c:v>12</c:v>
                </c:pt>
                <c:pt idx="33">
                  <c:v>36</c:v>
                </c:pt>
                <c:pt idx="34">
                  <c:v>3</c:v>
                </c:pt>
                <c:pt idx="35">
                  <c:v>4.66666666666667</c:v>
                </c:pt>
                <c:pt idx="36">
                  <c:v>9.66666666666667</c:v>
                </c:pt>
                <c:pt idx="37">
                  <c:v>11.6666666666667</c:v>
                </c:pt>
                <c:pt idx="38">
                  <c:v>6.33333333333333</c:v>
                </c:pt>
                <c:pt idx="39">
                  <c:v>7.33333333333333</c:v>
                </c:pt>
                <c:pt idx="40">
                  <c:v>4.33333333333333</c:v>
                </c:pt>
                <c:pt idx="41">
                  <c:v>35.3333333333333</c:v>
                </c:pt>
                <c:pt idx="42">
                  <c:v>4.33333333333333</c:v>
                </c:pt>
              </c:numCache>
            </c:numRef>
          </c:xVal>
          <c:yVal>
            <c:numRef>
              <c:f>'Errors'!$U$2:$U$44</c:f>
              <c:numCache>
                <c:formatCode>0.00</c:formatCode>
                <c:ptCount val="43"/>
                <c:pt idx="0">
                  <c:v>5.42913418857646</c:v>
                </c:pt>
                <c:pt idx="1">
                  <c:v>15.0120125642327</c:v>
                </c:pt>
                <c:pt idx="2">
                  <c:v>51.2905395776091</c:v>
                </c:pt>
                <c:pt idx="3">
                  <c:v>3.65171324837878</c:v>
                </c:pt>
                <c:pt idx="4">
                  <c:v>71.3996637174419</c:v>
                </c:pt>
                <c:pt idx="5">
                  <c:v>7.70995805277779</c:v>
                </c:pt>
                <c:pt idx="6">
                  <c:v>71.3996637174419</c:v>
                </c:pt>
                <c:pt idx="7">
                  <c:v>51.7729471822099</c:v>
                </c:pt>
                <c:pt idx="8">
                  <c:v>52.9386676042684</c:v>
                </c:pt>
                <c:pt idx="9">
                  <c:v>242.888229555798</c:v>
                </c:pt>
                <c:pt idx="10">
                  <c:v>172.841081256918</c:v>
                </c:pt>
                <c:pt idx="11">
                  <c:v>61.0918223716678</c:v>
                </c:pt>
                <c:pt idx="12">
                  <c:v>39.2425400796142</c:v>
                </c:pt>
                <c:pt idx="13">
                  <c:v>39.2425400796142</c:v>
                </c:pt>
                <c:pt idx="14">
                  <c:v>14.8642185388526</c:v>
                </c:pt>
                <c:pt idx="15">
                  <c:v>6.00867163249303</c:v>
                </c:pt>
                <c:pt idx="16">
                  <c:v>7.20994785361989</c:v>
                </c:pt>
                <c:pt idx="17">
                  <c:v>6.83082850973876</c:v>
                </c:pt>
                <c:pt idx="18">
                  <c:v>5.97209393210123</c:v>
                </c:pt>
                <c:pt idx="19">
                  <c:v>6.87273556642884</c:v>
                </c:pt>
                <c:pt idx="20">
                  <c:v>8.67327121508976</c:v>
                </c:pt>
                <c:pt idx="21">
                  <c:v>12.2059027990662</c:v>
                </c:pt>
                <c:pt idx="22">
                  <c:v>13.2027163119535</c:v>
                </c:pt>
                <c:pt idx="23">
                  <c:v>8.96871215495587</c:v>
                </c:pt>
                <c:pt idx="24">
                  <c:v>12.2059027990662</c:v>
                </c:pt>
                <c:pt idx="25">
                  <c:v>11.5887579024493</c:v>
                </c:pt>
                <c:pt idx="26">
                  <c:v>6.93652443789444</c:v>
                </c:pt>
                <c:pt idx="27">
                  <c:v>97.0844411576612</c:v>
                </c:pt>
                <c:pt idx="28">
                  <c:v>16.4927830171191</c:v>
                </c:pt>
                <c:pt idx="29">
                  <c:v>12.2059027990662</c:v>
                </c:pt>
                <c:pt idx="30">
                  <c:v>13.2027163119535</c:v>
                </c:pt>
                <c:pt idx="31">
                  <c:v>15.4039406574882</c:v>
                </c:pt>
                <c:pt idx="32">
                  <c:v>9.57422478714234</c:v>
                </c:pt>
                <c:pt idx="33">
                  <c:v>52.9386676042684</c:v>
                </c:pt>
                <c:pt idx="34">
                  <c:v>6.93652443789444</c:v>
                </c:pt>
                <c:pt idx="35">
                  <c:v>9.57422478714234</c:v>
                </c:pt>
                <c:pt idx="36">
                  <c:v>12.2059027990662</c:v>
                </c:pt>
                <c:pt idx="37">
                  <c:v>60.108393203724</c:v>
                </c:pt>
                <c:pt idx="38">
                  <c:v>9.328562335735</c:v>
                </c:pt>
                <c:pt idx="39">
                  <c:v>16.4927830171191</c:v>
                </c:pt>
                <c:pt idx="40">
                  <c:v>7.20994785361989</c:v>
                </c:pt>
                <c:pt idx="41">
                  <c:v>10.5665450621751</c:v>
                </c:pt>
                <c:pt idx="42">
                  <c:v>6.00867163249303</c:v>
                </c:pt>
              </c:numCache>
            </c:numRef>
          </c:yVal>
        </c:ser>
        <c:ser>
          <c:idx val="1"/>
          <c:order val="1"/>
          <c:tx>
            <c:v>Existing estimate (recoded)</c:v>
          </c:tx>
          <c:spPr>
            <a:ln xmlns:a="http://schemas.openxmlformats.org/drawingml/2006/main" w="19050">
              <a:noFill/>
            </a:ln>
          </c:spPr>
          <c:marker>
            <c:symbol val="triangle"/>
            <c:size val="7"/>
            <c:spPr>
              <a:noFill xmlns:a="http://schemas.openxmlformats.org/drawingml/2006/main"/>
              <a:ln xmlns:a="http://schemas.openxmlformats.org/drawingml/2006/main" w="12700">
                <a:solidFill>
                  <a:srgbClr val="A23B2A"/>
                </a:solidFill>
              </a:ln>
            </c:spPr>
          </c:marker>
          <c:xVal>
            <c:numRef>
              <c:f>'Errors'!$T$2:$T$44</c:f>
              <c:numCache>
                <c:formatCode>0.00</c:formatCode>
                <c:ptCount val="43"/>
                <c:pt idx="0">
                  <c:v>12.3333333333333</c:v>
                </c:pt>
                <c:pt idx="1">
                  <c:v>7.66666666666667</c:v>
                </c:pt>
                <c:pt idx="2">
                  <c:v>101.333333333333</c:v>
                </c:pt>
                <c:pt idx="3">
                  <c:v>11</c:v>
                </c:pt>
                <c:pt idx="4">
                  <c:v>108</c:v>
                </c:pt>
                <c:pt idx="5">
                  <c:v>21.3333333333333</c:v>
                </c:pt>
                <c:pt idx="6">
                  <c:v>52.3333333333333</c:v>
                </c:pt>
                <c:pt idx="7">
                  <c:v>53</c:v>
                </c:pt>
                <c:pt idx="8">
                  <c:v>13</c:v>
                </c:pt>
                <c:pt idx="9">
                  <c:v>349.666666666667</c:v>
                </c:pt>
                <c:pt idx="10">
                  <c:v>328.666666666667</c:v>
                </c:pt>
                <c:pt idx="11">
                  <c:v>91.6666666666667</c:v>
                </c:pt>
                <c:pt idx="12">
                  <c:v>12.3333333333333</c:v>
                </c:pt>
                <c:pt idx="13">
                  <c:v>30.6666666666667</c:v>
                </c:pt>
                <c:pt idx="14">
                  <c:v>30.6666666666667</c:v>
                </c:pt>
                <c:pt idx="15">
                  <c:v>10</c:v>
                </c:pt>
                <c:pt idx="16">
                  <c:v>10</c:v>
                </c:pt>
                <c:pt idx="17">
                  <c:v>15.6666666666667</c:v>
                </c:pt>
                <c:pt idx="18">
                  <c:v>17.3333333333333</c:v>
                </c:pt>
                <c:pt idx="19">
                  <c:v>0.666666666666667</c:v>
                </c:pt>
                <c:pt idx="20">
                  <c:v>1.33333333333333</c:v>
                </c:pt>
                <c:pt idx="21">
                  <c:v>28</c:v>
                </c:pt>
                <c:pt idx="22">
                  <c:v>11.6666666666667</c:v>
                </c:pt>
                <c:pt idx="23">
                  <c:v>10.6666666666667</c:v>
                </c:pt>
                <c:pt idx="24">
                  <c:v>1.66666666666667</c:v>
                </c:pt>
                <c:pt idx="25">
                  <c:v>137.333333333333</c:v>
                </c:pt>
                <c:pt idx="26">
                  <c:v>3.66666666666667</c:v>
                </c:pt>
                <c:pt idx="27">
                  <c:v>126.333333333333</c:v>
                </c:pt>
                <c:pt idx="28">
                  <c:v>37.3333333333333</c:v>
                </c:pt>
                <c:pt idx="29">
                  <c:v>24</c:v>
                </c:pt>
                <c:pt idx="30">
                  <c:v>14.3333333333333</c:v>
                </c:pt>
                <c:pt idx="31">
                  <c:v>14.3333333333333</c:v>
                </c:pt>
                <c:pt idx="32">
                  <c:v>12</c:v>
                </c:pt>
                <c:pt idx="33">
                  <c:v>36</c:v>
                </c:pt>
                <c:pt idx="34">
                  <c:v>3</c:v>
                </c:pt>
                <c:pt idx="35">
                  <c:v>4.66666666666667</c:v>
                </c:pt>
                <c:pt idx="36">
                  <c:v>9.66666666666667</c:v>
                </c:pt>
                <c:pt idx="37">
                  <c:v>11.6666666666667</c:v>
                </c:pt>
                <c:pt idx="38">
                  <c:v>6.33333333333333</c:v>
                </c:pt>
                <c:pt idx="39">
                  <c:v>7.33333333333333</c:v>
                </c:pt>
                <c:pt idx="40">
                  <c:v>4.33333333333333</c:v>
                </c:pt>
                <c:pt idx="41">
                  <c:v>35.3333333333333</c:v>
                </c:pt>
                <c:pt idx="42">
                  <c:v>4.33333333333333</c:v>
                </c:pt>
              </c:numCache>
            </c:numRef>
          </c:xVal>
          <c:yVal>
            <c:numRef>
              <c:f>'Errors'!$V$2:$V$44</c:f>
              <c:numCache>
                <c:formatCode>0.00</c:formatCode>
                <c:ptCount val="43"/>
                <c:pt idx="0">
                  <c:v>0</c:v>
                </c:pt>
                <c:pt idx="1">
                  <c:v>12</c:v>
                </c:pt>
                <c:pt idx="2">
                  <c:v>102</c:v>
                </c:pt>
                <c:pt idx="3">
                  <c:v>26</c:v>
                </c:pt>
                <c:pt idx="4">
                  <c:v>78</c:v>
                </c:pt>
                <c:pt idx="5">
                  <c:v>150</c:v>
                </c:pt>
                <c:pt idx="6">
                  <c:v>51</c:v>
                </c:pt>
                <c:pt idx="7">
                  <c:v>84</c:v>
                </c:pt>
                <c:pt idx="8">
                  <c:v>102</c:v>
                </c:pt>
                <c:pt idx="9">
                  <c:v>102</c:v>
                </c:pt>
                <c:pt idx="10">
                  <c:v>150</c:v>
                </c:pt>
                <c:pt idx="11">
                  <c:v>126</c:v>
                </c:pt>
                <c:pt idx="12">
                  <c:v>126</c:v>
                </c:pt>
                <c:pt idx="13">
                  <c:v>96</c:v>
                </c:pt>
                <c:pt idx="14">
                  <c:v>78</c:v>
                </c:pt>
                <c:pt idx="15">
                  <c:v>18.6666666666667</c:v>
                </c:pt>
                <c:pt idx="16">
                  <c:v>20</c:v>
                </c:pt>
                <c:pt idx="17">
                  <c:v>39</c:v>
                </c:pt>
                <c:pt idx="18">
                  <c:v>150</c:v>
                </c:pt>
                <c:pt idx="19">
                  <c:v>15</c:v>
                </c:pt>
                <c:pt idx="20">
                  <c:v>8.83333333333333</c:v>
                </c:pt>
                <c:pt idx="21">
                  <c:v>39</c:v>
                </c:pt>
                <c:pt idx="22">
                  <c:v>126</c:v>
                </c:pt>
                <c:pt idx="23">
                  <c:v>5</c:v>
                </c:pt>
                <c:pt idx="24">
                  <c:v>30</c:v>
                </c:pt>
                <c:pt idx="25">
                  <c:v>11</c:v>
                </c:pt>
                <c:pt idx="26">
                  <c:v>30</c:v>
                </c:pt>
                <c:pt idx="27">
                  <c:v>150</c:v>
                </c:pt>
                <c:pt idx="28">
                  <c:v>18</c:v>
                </c:pt>
                <c:pt idx="29">
                  <c:v>114</c:v>
                </c:pt>
                <c:pt idx="30">
                  <c:v>11</c:v>
                </c:pt>
                <c:pt idx="31">
                  <c:v>110</c:v>
                </c:pt>
                <c:pt idx="32">
                  <c:v>26</c:v>
                </c:pt>
                <c:pt idx="33">
                  <c:v>126</c:v>
                </c:pt>
                <c:pt idx="34">
                  <c:v>30</c:v>
                </c:pt>
                <c:pt idx="35">
                  <c:v>76</c:v>
                </c:pt>
                <c:pt idx="36">
                  <c:v>22</c:v>
                </c:pt>
                <c:pt idx="37">
                  <c:v>76</c:v>
                </c:pt>
                <c:pt idx="38">
                  <c:v>24</c:v>
                </c:pt>
                <c:pt idx="39">
                  <c:v>64.3333333333333</c:v>
                </c:pt>
                <c:pt idx="40">
                  <c:v>30</c:v>
                </c:pt>
                <c:pt idx="41">
                  <c:v>102</c:v>
                </c:pt>
                <c:pt idx="42">
                  <c:v>75</c:v>
                </c:pt>
              </c:numCache>
            </c:numRef>
          </c:yVal>
        </c:ser>
        <c:ser>
          <c:idx val="2"/>
          <c:order val="2"/>
          <c:tx>
            <c:v>1:1 reference</c:v>
          </c:tx>
          <c:spPr>
            <a:ln xmlns:a="http://schemas.openxmlformats.org/drawingml/2006/main" w="9525">
              <a:solidFill>
                <a:srgbClr val="595959"/>
              </a:solidFill>
              <a:prstDash val="dash"/>
            </a:ln>
          </c:spPr>
          <c:marker>
            <c:symbol val="none"/>
          </c:marker>
          <c:xVal>
            <c:numRef>
              <c:f>'Errors'!$T$2:$T$44</c:f>
              <c:numCache>
                <c:formatCode>0.00</c:formatCode>
                <c:ptCount val="43"/>
                <c:pt idx="0">
                  <c:v>12.3333333333333</c:v>
                </c:pt>
                <c:pt idx="1">
                  <c:v>7.66666666666667</c:v>
                </c:pt>
                <c:pt idx="2">
                  <c:v>101.333333333333</c:v>
                </c:pt>
                <c:pt idx="3">
                  <c:v>11</c:v>
                </c:pt>
                <c:pt idx="4">
                  <c:v>108</c:v>
                </c:pt>
                <c:pt idx="5">
                  <c:v>21.3333333333333</c:v>
                </c:pt>
                <c:pt idx="6">
                  <c:v>52.3333333333333</c:v>
                </c:pt>
                <c:pt idx="7">
                  <c:v>53</c:v>
                </c:pt>
                <c:pt idx="8">
                  <c:v>13</c:v>
                </c:pt>
                <c:pt idx="9">
                  <c:v>349.666666666667</c:v>
                </c:pt>
                <c:pt idx="10">
                  <c:v>328.666666666667</c:v>
                </c:pt>
                <c:pt idx="11">
                  <c:v>91.6666666666667</c:v>
                </c:pt>
                <c:pt idx="12">
                  <c:v>12.3333333333333</c:v>
                </c:pt>
                <c:pt idx="13">
                  <c:v>30.6666666666667</c:v>
                </c:pt>
                <c:pt idx="14">
                  <c:v>30.6666666666667</c:v>
                </c:pt>
                <c:pt idx="15">
                  <c:v>10</c:v>
                </c:pt>
                <c:pt idx="16">
                  <c:v>10</c:v>
                </c:pt>
                <c:pt idx="17">
                  <c:v>15.6666666666667</c:v>
                </c:pt>
                <c:pt idx="18">
                  <c:v>17.3333333333333</c:v>
                </c:pt>
                <c:pt idx="19">
                  <c:v>0.666666666666667</c:v>
                </c:pt>
                <c:pt idx="20">
                  <c:v>1.33333333333333</c:v>
                </c:pt>
                <c:pt idx="21">
                  <c:v>28</c:v>
                </c:pt>
                <c:pt idx="22">
                  <c:v>11.6666666666667</c:v>
                </c:pt>
                <c:pt idx="23">
                  <c:v>10.6666666666667</c:v>
                </c:pt>
                <c:pt idx="24">
                  <c:v>1.66666666666667</c:v>
                </c:pt>
                <c:pt idx="25">
                  <c:v>137.333333333333</c:v>
                </c:pt>
                <c:pt idx="26">
                  <c:v>3.66666666666667</c:v>
                </c:pt>
                <c:pt idx="27">
                  <c:v>126.333333333333</c:v>
                </c:pt>
                <c:pt idx="28">
                  <c:v>37.3333333333333</c:v>
                </c:pt>
                <c:pt idx="29">
                  <c:v>24</c:v>
                </c:pt>
                <c:pt idx="30">
                  <c:v>14.3333333333333</c:v>
                </c:pt>
                <c:pt idx="31">
                  <c:v>14.3333333333333</c:v>
                </c:pt>
                <c:pt idx="32">
                  <c:v>12</c:v>
                </c:pt>
                <c:pt idx="33">
                  <c:v>36</c:v>
                </c:pt>
                <c:pt idx="34">
                  <c:v>3</c:v>
                </c:pt>
                <c:pt idx="35">
                  <c:v>4.66666666666667</c:v>
                </c:pt>
                <c:pt idx="36">
                  <c:v>9.66666666666667</c:v>
                </c:pt>
                <c:pt idx="37">
                  <c:v>11.6666666666667</c:v>
                </c:pt>
                <c:pt idx="38">
                  <c:v>6.33333333333333</c:v>
                </c:pt>
                <c:pt idx="39">
                  <c:v>7.33333333333333</c:v>
                </c:pt>
                <c:pt idx="40">
                  <c:v>4.33333333333333</c:v>
                </c:pt>
                <c:pt idx="41">
                  <c:v>35.3333333333333</c:v>
                </c:pt>
                <c:pt idx="42">
                  <c:v>4.33333333333333</c:v>
                </c:pt>
              </c:numCache>
            </c:numRef>
          </c:xVal>
          <c:yVal>
            <c:numRef>
              <c:f>'Errors'!$W$2:$W$44</c:f>
              <c:numCache>
                <c:formatCode>0.00</c:formatCode>
                <c:ptCount val="43"/>
                <c:pt idx="0">
                  <c:v>12.3333333333333</c:v>
                </c:pt>
                <c:pt idx="1">
                  <c:v>7.66666666666667</c:v>
                </c:pt>
                <c:pt idx="2">
                  <c:v>101.333333333333</c:v>
                </c:pt>
                <c:pt idx="3">
                  <c:v>11</c:v>
                </c:pt>
                <c:pt idx="4">
                  <c:v>108</c:v>
                </c:pt>
                <c:pt idx="5">
                  <c:v>21.3333333333333</c:v>
                </c:pt>
                <c:pt idx="6">
                  <c:v>52.3333333333333</c:v>
                </c:pt>
                <c:pt idx="7">
                  <c:v>53</c:v>
                </c:pt>
                <c:pt idx="8">
                  <c:v>13</c:v>
                </c:pt>
                <c:pt idx="9">
                  <c:v>349.666666666667</c:v>
                </c:pt>
                <c:pt idx="10">
                  <c:v>328.666666666667</c:v>
                </c:pt>
                <c:pt idx="11">
                  <c:v>91.6666666666667</c:v>
                </c:pt>
                <c:pt idx="12">
                  <c:v>12.3333333333333</c:v>
                </c:pt>
                <c:pt idx="13">
                  <c:v>30.6666666666667</c:v>
                </c:pt>
                <c:pt idx="14">
                  <c:v>30.6666666666667</c:v>
                </c:pt>
                <c:pt idx="15">
                  <c:v>10</c:v>
                </c:pt>
                <c:pt idx="16">
                  <c:v>10</c:v>
                </c:pt>
                <c:pt idx="17">
                  <c:v>15.6666666666667</c:v>
                </c:pt>
                <c:pt idx="18">
                  <c:v>17.3333333333333</c:v>
                </c:pt>
                <c:pt idx="19">
                  <c:v>0.666666666666667</c:v>
                </c:pt>
                <c:pt idx="20">
                  <c:v>1.33333333333333</c:v>
                </c:pt>
                <c:pt idx="21">
                  <c:v>28</c:v>
                </c:pt>
                <c:pt idx="22">
                  <c:v>11.6666666666667</c:v>
                </c:pt>
                <c:pt idx="23">
                  <c:v>10.6666666666667</c:v>
                </c:pt>
                <c:pt idx="24">
                  <c:v>1.66666666666667</c:v>
                </c:pt>
                <c:pt idx="25">
                  <c:v>137.333333333333</c:v>
                </c:pt>
                <c:pt idx="26">
                  <c:v>3.66666666666667</c:v>
                </c:pt>
                <c:pt idx="27">
                  <c:v>126.333333333333</c:v>
                </c:pt>
                <c:pt idx="28">
                  <c:v>37.3333333333333</c:v>
                </c:pt>
                <c:pt idx="29">
                  <c:v>24</c:v>
                </c:pt>
                <c:pt idx="30">
                  <c:v>14.3333333333333</c:v>
                </c:pt>
                <c:pt idx="31">
                  <c:v>14.3333333333333</c:v>
                </c:pt>
                <c:pt idx="32">
                  <c:v>12</c:v>
                </c:pt>
                <c:pt idx="33">
                  <c:v>36</c:v>
                </c:pt>
                <c:pt idx="34">
                  <c:v>3</c:v>
                </c:pt>
                <c:pt idx="35">
                  <c:v>4.66666666666667</c:v>
                </c:pt>
                <c:pt idx="36">
                  <c:v>9.66666666666667</c:v>
                </c:pt>
                <c:pt idx="37">
                  <c:v>11.6666666666667</c:v>
                </c:pt>
                <c:pt idx="38">
                  <c:v>6.33333333333333</c:v>
                </c:pt>
                <c:pt idx="39">
                  <c:v>7.33333333333333</c:v>
                </c:pt>
                <c:pt idx="40">
                  <c:v>4.33333333333333</c:v>
                </c:pt>
                <c:pt idx="41">
                  <c:v>35.3333333333333</c:v>
                </c:pt>
                <c:pt idx="42">
                  <c:v>4.33333333333333</c:v>
                </c:pt>
              </c:numCache>
            </c:numRef>
          </c:yVal>
        </c:ser>
        <c:axId val="48650112"/>
        <c:axId val="48672768"/>
      </c:scatterChart>
      <c:valAx>
        <c:axId val="48650112"/>
        <c:scaling>
          <c:orientation val="minMax"/>
          <c:max val="350"/>
          <c:min val="0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rPr>
                  <a:t>Observed (pedestrians/hour)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xmlns:a="http://schemas.openxmlformats.org/drawingml/2006/main" w="9525">
            <a:solidFill>
              <a:srgbClr val="000000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 val="autoZero"/>
        <c:crossBetween val="midCat"/>
      </c:valAx>
      <c:valAx>
        <c:axId val="48672768"/>
        <c:scaling>
          <c:orientation val="minMax"/>
          <c:max val="350"/>
          <c:min val="0"/>
        </c:scaling>
        <c:delete val="0"/>
        <c:axPos val="l"/>
        <c:title>
          <c:tx>
            <c: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900" b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rPr>
                  <a:t>Estimated (pedestrians/hour)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xmlns:a="http://schemas.openxmlformats.org/drawingml/2006/main" w="9525">
            <a:solidFill>
              <a:srgbClr val="000000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</c:valAx>
      <c:spPr>
        <a:noFill xmlns:a="http://schemas.openxmlformats.org/drawingml/2006/main"/>
        <a:ln xmlns:a="http://schemas.openxmlformats.org/drawingml/2006/main" w="9525">
          <a:solidFill>
            <a:srgbClr val="000000"/>
          </a:solidFill>
        </a:ln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>
      <a:noFill/>
    </a:ln>
  </c:spPr>
  <c: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 b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14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8ea1e2c7824c3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be9afef83a435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rveyComparison" displayName="SurveyComparison" ref="A1:S50" headerRowCount="1" totalsRowCount="0" totalsRowShown="0">
  <x:tableColumns count="19">
    <x:tableColumn id="1" name="Site ID"/>
    <x:tableColumn id="2" name="Road number"/>
    <x:tableColumn id="3" name="SLK (km)"/>
    <x:tableColumn id="4" name="Client source location ID"/>
    <x:tableColumn id="5" name="Observed peak-hour flow — Crossing"/>
    <x:tableColumn id="6" name="Model-predicted peak-hour flow — Crossing"/>
    <x:tableColumn id="7" name="Existing iRAP flow estimate (recoded) — Crossing"/>
    <x:tableColumn id="8" name="Observed flow category — Crossing"/>
    <x:tableColumn id="9" name="Model-predicted flow category — Crossing"/>
    <x:tableColumn id="10" name="Existing AusRAP flow category — Crossing"/>
    <x:tableColumn id="11" name="Existing AusRAP flow band — Crossing"/>
    <x:tableColumn id="12" name="Observed peak-hour flow — Along-road"/>
    <x:tableColumn id="13" name="Model-predicted peak-hour flow — Along-road"/>
    <x:tableColumn id="14" name="Existing iRAP flow estimate (recoded) — Along-road"/>
    <x:tableColumn id="15" name="Existing AusRAP combined flow band — Along-road"/>
    <x:tableColumn id="16" name="Included in crossing metrics"/>
    <x:tableColumn id="17" name="Included in along-road metrics"/>
    <x:tableColumn id="18" name="Comparison status"/>
    <x:tableColumn id="19" name="Comparison 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Times New Roman"/>
        <a:ea typeface="Calibri Light"/>
        <a:cs typeface="Calibri Light"/>
      </a:majorFont>
      <a:minorFont>
        <a:latin typeface="Times New Roman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889426c7094b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7ecbde51543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44" hidden="0" customWidth="1"/>
    <x:col min="4" max="4" width="10" hidden="0" customWidth="1"/>
    <x:col min="5" max="5" width="14" hidden="0" customWidth="1"/>
    <x:col min="6" max="6" width="14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2"/>
      <x:c r="B2" s="14" t="str">
        <x:v>Pedestrian flow comparison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/>
      <x:c r="B3" s="20" t="str">
        <x:v>Model OOF and existing estimates against corrected observed peak-hour counts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1" t="str">
        <x:v>49 sites retained. Paired samples: 45 crossing; 43 along-road. Errors in pedestrians/hour.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2"/>
      <x:c r="B6" s="22" t="str">
        <x:v>Direction</x:v>
      </x:c>
      <x:c r="C6" s="22" t="str">
        <x:v>Method</x:v>
      </x:c>
      <x:c r="D6" s="22" t="str">
        <x:v>N</x:v>
      </x:c>
      <x:c r="E6" s="22" t="str">
        <x:v>MAE</x:v>
      </x:c>
      <x:c r="F6" s="22" t="str">
        <x:v>RMSE</x:v>
      </x:c>
      <x:c r="G6" s="2"/>
      <x:c r="H6" s="22" t="str">
        <x:v>Direction</x:v>
      </x:c>
      <x:c r="I6" s="22" t="str">
        <x:v>MAE reduction</x:v>
      </x:c>
      <x:c r="J6" s="22" t="str">
        <x:v>RMSE reduction</x:v>
      </x:c>
      <x:c r="K6" s="22" t="str">
        <x:v>Same paired sites</x:v>
      </x:c>
      <x:c r="L6" s="2"/>
      <x:c r="M6" s="2"/>
      <x:c r="N6" s="2"/>
    </x:row>
    <x:row r="7" ht="34" customHeight="1">
      <x:c r="A7" s="2"/>
      <x:c r="B7" s="2" t="str">
        <x:v>Cross-road</x:v>
      </x:c>
      <x:c r="C7" s="11" t="str">
        <x:v>Model (road-grouped OOF)</x:v>
      </x:c>
      <x:c r="D7" s="10" t="n">
        <x:f>COUNTIFS('Errors'!$B$2:$B$99,B7,'Errors'!$F$2:$F$99,1)</x:f>
        <x:v>45</x:v>
      </x:c>
      <x:c r="E7" s="9" t="n">
        <x:f>IF(D7=0,"",SUMIFS('Errors'!$H$2:$H$99,'Errors'!$B$2:$B$99,B7,'Errors'!$F$2:$F$99,1)/D7)</x:f>
        <x:v>15.496201026832757</x:v>
      </x:c>
      <x:c r="F7" s="9" t="n">
        <x:f>IF(D7=0,"",SQRT(SUMIFS('Errors'!$I$2:$I$99,'Errors'!$B$2:$B$99,B7,'Errors'!$F$2:$F$99,1)/D7))</x:f>
        <x:v>29.954300735094666</x:v>
      </x:c>
      <x:c r="G7" s="2"/>
      <x:c r="H7" s="2" t="str">
        <x:v>Cross-road</x:v>
      </x:c>
      <x:c r="I7" s="15" t="n">
        <x:f>1-E7/E8</x:f>
        <x:v>0.14130851159674795</x:v>
      </x:c>
      <x:c r="J7" s="15" t="n">
        <x:f>1-F7/F8</x:f>
        <x:v>0.17883503010616586</x:v>
      </x:c>
      <x:c r="K7" s="2" t="n">
        <x:f>D7</x:f>
        <x:v>45</x:v>
      </x:c>
      <x:c r="L7" s="2"/>
      <x:c r="M7" s="2"/>
      <x:c r="N7" s="2"/>
    </x:row>
    <x:row r="8" ht="34" customHeight="1">
      <x:c r="A8" s="2"/>
      <x:c r="B8" s="23" t="str">
        <x:v>Cross-road</x:v>
      </x:c>
      <x:c r="C8" s="24" t="str">
        <x:v>Existing iRAP flow estimate (recoded)</x:v>
      </x:c>
      <x:c r="D8" s="25" t="n">
        <x:f>COUNTIFS('Errors'!$B$2:$B$99,B8,'Errors'!$F$2:$F$99,1)</x:f>
        <x:v>45</x:v>
      </x:c>
      <x:c r="E8" s="26" t="n">
        <x:f>IF(D8=0,"",SUMIFS('Errors'!$K$2:$K$99,'Errors'!$B$2:$B$99,B8,'Errors'!$F$2:$F$99,1)/D8)</x:f>
        <x:v>18.04629629629629</x:v>
      </x:c>
      <x:c r="F8" s="26" t="n">
        <x:f>IF(D8=0,"",SQRT(SUMIFS('Errors'!$L$2:$L$99,'Errors'!$B$2:$B$99,B8,'Errors'!$F$2:$F$99,1)/D8))</x:f>
        <x:v>36.47781119909117</x:v>
      </x:c>
      <x:c r="G8" s="2"/>
      <x:c r="H8" s="27" t="str">
        <x:v>Along-road</x:v>
      </x:c>
      <x:c r="I8" s="28" t="n">
        <x:f>1-E9/E10</x:f>
        <x:v>0.5965359226998823</x:v>
      </x:c>
      <x:c r="J8" s="28" t="n">
        <x:f>1-F9/F10</x:f>
        <x:v>0.47909573108316006</x:v>
      </x:c>
      <x:c r="K8" s="27" t="n">
        <x:f>D9</x:f>
        <x:v>43</x:v>
      </x:c>
      <x:c r="L8" s="2"/>
      <x:c r="M8" s="2"/>
      <x:c r="N8" s="2"/>
    </x:row>
    <x:row r="9" ht="34" customHeight="1">
      <x:c r="A9" s="2"/>
      <x:c r="B9" s="2" t="str">
        <x:v>Along-road</x:v>
      </x:c>
      <x:c r="C9" s="11" t="str">
        <x:v>Model (road-grouped OOF)</x:v>
      </x:c>
      <x:c r="D9" s="10" t="n">
        <x:f>COUNTIFS('Errors'!$B$2:$B$99,B9,'Errors'!$F$2:$F$99,1)</x:f>
        <x:v>43</x:v>
      </x:c>
      <x:c r="E9" s="9" t="n">
        <x:f>IF(D9=0,"",SUMIFS('Errors'!$H$2:$H$99,'Errors'!$B$2:$B$99,B9,'Errors'!$F$2:$F$99,1)/D9)</x:f>
        <x:v>21.172481172737573</x:v>
      </x:c>
      <x:c r="F9" s="9" t="n">
        <x:f>IF(D9=0,"",SQRT(SUMIFS('Errors'!$I$2:$I$99,'Errors'!$B$2:$B$99,B9,'Errors'!$F$2:$F$99,1)/D9))</x:f>
        <x:v>38.92634331088962</x:v>
      </x:c>
      <x:c r="G9" s="2"/>
      <x:c r="H9" s="2"/>
      <x:c r="I9" s="2"/>
      <x:c r="J9" s="2"/>
      <x:c r="K9" s="2"/>
      <x:c r="L9" s="2"/>
      <x:c r="M9" s="2"/>
      <x:c r="N9" s="2"/>
    </x:row>
    <x:row r="10" ht="34" customHeight="1">
      <x:c r="A10" s="2"/>
      <x:c r="B10" s="27" t="str">
        <x:v>Along-road</x:v>
      </x:c>
      <x:c r="C10" s="29" t="str">
        <x:v>Existing iRAP flow estimate (recoded)</x:v>
      </x:c>
      <x:c r="D10" s="30" t="n">
        <x:f>COUNTIFS('Errors'!$B$2:$B$99,B10,'Errors'!$F$2:$F$99,1)</x:f>
        <x:v>43</x:v>
      </x:c>
      <x:c r="E10" s="31" t="n">
        <x:f>IF(D10=0,"",SUMIFS('Errors'!$K$2:$K$99,'Errors'!$B$2:$B$99,B10,'Errors'!$F$2:$F$99,1)/D10)</x:f>
        <x:v>52.47674418604651</x:v>
      </x:c>
      <x:c r="F10" s="31" t="n">
        <x:f>IF(D10=0,"",SQRT(SUMIFS('Errors'!$L$2:$L$99,'Errors'!$B$2:$B$99,B10,'Errors'!$F$2:$F$99,1)/D10))</x:f>
        <x:v>74.72840142360984</x:v>
      </x:c>
      <x:c r="G10" s="2"/>
      <x:c r="H10" s="21" t="str">
        <x:v>Reduction relative to Existing iRAP flow estimate (recoded).</x:v>
      </x:c>
      <x:c r="I10" s="2"/>
      <x:c r="J10" s="2"/>
      <x:c r="K10" s="2"/>
      <x:c r="L10" s="2"/>
      <x:c r="M10" s="2"/>
      <x:c r="N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/>
      <x:c r="B12" s="21" t="str">
        <x:v>Internal cross-validation; these results do not establish whole-network accuracy.</x:v>
      </x:c>
      <x:c r="C12" s="2"/>
      <x:c r="D12" s="2"/>
      <x:c r="E12" s="2"/>
      <x:c r="F12" s="2"/>
      <x:c r="G12" s="2"/>
      <x:c r="H12" s="21" t="str">
        <x:v>The reference is recoded and aggregated; it is not an official exact count.</x:v>
      </x:c>
      <x:c r="I12" s="2"/>
      <x:c r="J12" s="2"/>
      <x:c r="K12" s="2"/>
      <x:c r="L12" s="2"/>
      <x:c r="M12" s="2"/>
      <x:c r="N12" s="2"/>
    </x:row>
    <x:row r="13" ht="22" customHeight="1">
      <x:c r="A13" s="2"/>
      <x:c r="B13" s="21" t="str">
        <x:v>Along-road excludes 250341-01 and 260335-38 because coverage is not confirmed as both sides.</x:v>
      </x:c>
      <x:c r="C13" s="2"/>
      <x:c r="D13" s="2"/>
      <x:c r="E13" s="2"/>
      <x:c r="F13" s="2"/>
      <x:c r="G13" s="2"/>
      <x:c r="H13" s="21" t="str">
        <x:v>The refitted correction-sensitivity analysis remains outstanding.</x:v>
      </x:c>
      <x:c r="I13" s="2"/>
      <x:c r="J13" s="2"/>
      <x:c r="K13" s="2"/>
      <x:c r="L13" s="2"/>
      <x:c r="M13" s="2"/>
      <x:c r="N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</x:sheetData>
  <x:pageMargins left="0.7" right="0.7" top="0.75" bottom="0.75" header="0.3" footer="0.3"/>
  <x:drawing xmlns:r="http://schemas.openxmlformats.org/officeDocument/2006/relationships" r:id="Rf3889426c7094ba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4" hidden="0" customWidth="1"/>
    <x:col min="5" max="5" width="22" hidden="0" customWidth="1"/>
    <x:col min="6" max="6" width="23" hidden="0" customWidth="1"/>
    <x:col min="7" max="7" width="29" hidden="0" customWidth="1"/>
    <x:col min="8" max="8" width="17" hidden="0" customWidth="1"/>
    <x:col min="9" max="9" width="19" hidden="0" customWidth="1"/>
    <x:col min="10" max="10" width="19" hidden="0" customWidth="1"/>
    <x:col min="11" max="11" width="24" hidden="0" customWidth="1"/>
    <x:col min="12" max="12" width="23" hidden="0" customWidth="1"/>
    <x:col min="13" max="13" width="24" hidden="0" customWidth="1"/>
    <x:col min="14" max="14" width="29" hidden="0" customWidth="1"/>
    <x:col min="15" max="15" width="27" hidden="0" customWidth="1"/>
    <x:col min="16" max="16" width="20" hidden="0" customWidth="1"/>
    <x:col min="17" max="17" width="20" hidden="0" customWidth="1"/>
    <x:col min="18" max="18" width="24" hidden="0" customWidth="1"/>
    <x:col min="19" max="19" width="68" hidden="0" customWidth="1"/>
  </x:cols>
  <x:sheetData>
    <x:row r="1" ht="78" customHeight="1">
      <x:c r="A1" s="22" t="str">
        <x:v>Site ID</x:v>
      </x:c>
      <x:c r="B1" s="22" t="str">
        <x:v>Road number</x:v>
      </x:c>
      <x:c r="C1" s="22" t="str">
        <x:v>SLK (km)</x:v>
      </x:c>
      <x:c r="D1" s="22" t="str">
        <x:v>Client source location ID</x:v>
      </x:c>
      <x:c r="E1" s="22" t="str">
        <x:v>Observed peak-hour flow — Crossing</x:v>
      </x:c>
      <x:c r="F1" s="22" t="str">
        <x:v>Model-predicted peak-hour flow — Crossing</x:v>
      </x:c>
      <x:c r="G1" s="22" t="str">
        <x:v>Existing iRAP flow estimate (recoded) — Crossing</x:v>
      </x:c>
      <x:c r="H1" s="22" t="str">
        <x:v>Observed flow category — Crossing</x:v>
      </x:c>
      <x:c r="I1" s="22" t="str">
        <x:v>Model-predicted flow category — Crossing</x:v>
      </x:c>
      <x:c r="J1" s="22" t="str">
        <x:v>Existing AusRAP flow category — Crossing</x:v>
      </x:c>
      <x:c r="K1" s="22" t="str">
        <x:v>Existing AusRAP flow band — Crossing</x:v>
      </x:c>
      <x:c r="L1" s="22" t="str">
        <x:v>Observed peak-hour flow — Along-road</x:v>
      </x:c>
      <x:c r="M1" s="22" t="str">
        <x:v>Model-predicted peak-hour flow — Along-road</x:v>
      </x:c>
      <x:c r="N1" s="22" t="str">
        <x:v>Existing iRAP flow estimate (recoded) — Along-road</x:v>
      </x:c>
      <x:c r="O1" s="22" t="str">
        <x:v>Existing AusRAP combined flow band — Along-road</x:v>
      </x:c>
      <x:c r="P1" s="22" t="str">
        <x:v>Included in crossing metrics</x:v>
      </x:c>
      <x:c r="Q1" s="22" t="str">
        <x:v>Included in along-road metrics</x:v>
      </x:c>
      <x:c r="R1" s="22" t="str">
        <x:v>Comparison status</x:v>
      </x:c>
      <x:c r="S1" s="22" t="str">
        <x:v>Comparison notes</x:v>
      </x:c>
    </x:row>
    <x:row r="2" ht="32" customHeight="1">
      <x:c r="A2" s="2" t="str">
        <x:v>250303-01</x:v>
      </x:c>
      <x:c r="B2" s="2" t="str">
        <x:v>M074</x:v>
      </x:c>
      <x:c r="C2" s="8" t="n">
        <x:v>52.8</x:v>
      </x:c>
      <x:c r="D2" s="2" t="str">
        <x:v>M074-52.8</x:v>
      </x:c>
      <x:c r="E2" s="9" t="n">
        <x:v>0.333333333333333</x:v>
      </x:c>
      <x:c r="F2" s="9" t="n">
        <x:v>2.98294093446091</x:v>
      </x:c>
      <x:c r="G2" s="9" t="n">
        <x:v>0</x:v>
      </x:c>
      <x:c r="H2" s="13" t="n">
        <x:v>2</x:v>
      </x:c>
      <x:c r="I2" s="13" t="n">
        <x:v>2</x:v>
      </x:c>
      <x:c r="J2" s="13" t="n">
        <x:v>1</x:v>
      </x:c>
      <x:c r="K2" s="12" t="str">
        <x:v>0</x:v>
      </x:c>
      <x:c r="L2" s="9" t="n">
        <x:v>12.3333333333333</x:v>
      </x:c>
      <x:c r="M2" s="9" t="n">
        <x:v>5.42913418857646</x:v>
      </x:c>
      <x:c r="N2" s="9" t="n">
        <x:v>0</x:v>
      </x:c>
      <x:c r="O2" s="12" t="str">
        <x:v>0</x:v>
      </x:c>
      <x:c r="P2" s="3" t="b">
        <x:v>1</x:v>
      </x:c>
      <x:c r="Q2" s="3" t="b">
        <x:v>1</x:v>
      </x:c>
      <x:c r="R2" s="2" t="str">
        <x:v>compared_both</x:v>
      </x:c>
      <x:c r="S2" s="11" t="str"/>
    </x:row>
    <x:row r="3" ht="32" customHeight="1">
      <x:c r="A3" s="2" t="str">
        <x:v>250303-02</x:v>
      </x:c>
      <x:c r="B3" s="2" t="str">
        <x:v>H009</x:v>
      </x:c>
      <x:c r="C3" s="8" t="n">
        <x:v>155.15</x:v>
      </x:c>
      <x:c r="D3" s="2" t="str">
        <x:v>H009-155.15</x:v>
      </x:c>
      <x:c r="E3" s="9" t="n">
        <x:v>4</x:v>
      </x:c>
      <x:c r="F3" s="9" t="n">
        <x:v>9.50226526781901</x:v>
      </x:c>
      <x:c r="G3" s="9" t="n">
        <x:v>3</x:v>
      </x:c>
      <x:c r="H3" s="13" t="n">
        <x:v>2</x:v>
      </x:c>
      <x:c r="I3" s="13" t="n">
        <x:v>3</x:v>
      </x:c>
      <x:c r="J3" s="13" t="n">
        <x:v>2</x:v>
      </x:c>
      <x:c r="K3" s="12" t="str">
        <x:v>1–5</x:v>
      </x:c>
      <x:c r="L3" s="9" t="n">
        <x:v>7.66666666666667</x:v>
      </x:c>
      <x:c r="M3" s="9" t="n">
        <x:v>15.0120125642327</x:v>
      </x:c>
      <x:c r="N3" s="9" t="n">
        <x:v>12</x:v>
      </x:c>
      <x:c r="O3" s="12" t="str">
        <x:v>4.75–20</x:v>
      </x:c>
      <x:c r="P3" s="3" t="b">
        <x:v>1</x:v>
      </x:c>
      <x:c r="Q3" s="3" t="b">
        <x:v>1</x:v>
      </x:c>
      <x:c r="R3" s="2" t="str">
        <x:v>compared_both</x:v>
      </x:c>
      <x:c r="S3" s="11" t="str">
        <x:v>Client mean spans multiple carriageways</x:v>
      </x:c>
    </x:row>
    <x:row r="4" ht="32" customHeight="1">
      <x:c r="A4" s="2" t="str">
        <x:v>250303-03</x:v>
      </x:c>
      <x:c r="B4" s="2" t="str">
        <x:v>H045</x:v>
      </x:c>
      <x:c r="C4" s="8" t="n">
        <x:v>36.1</x:v>
      </x:c>
      <x:c r="D4" s="2" t="str">
        <x:v>H045-36.1</x:v>
      </x:c>
      <x:c r="E4" s="9" t="n">
        <x:v>47</x:v>
      </x:c>
      <x:c r="F4" s="9" t="n">
        <x:v>30.3619443577369</x:v>
      </x:c>
      <x:c r="G4" s="9" t="n">
        <x:v>22.6666666666667</x:v>
      </x:c>
      <x:c r="H4" s="13" t="n">
        <x:v>4</x:v>
      </x:c>
      <x:c r="I4" s="13" t="n">
        <x:v>4</x:v>
      </x:c>
      <x:c r="J4" s="13"/>
      <x:c r="K4" s="12" t="str">
        <x:v>12.67–33.33</x:v>
      </x:c>
      <x:c r="L4" s="9" t="n">
        <x:v>101.333333333333</x:v>
      </x:c>
      <x:c r="M4" s="9" t="n">
        <x:v>51.2905395776091</x:v>
      </x:c>
      <x:c r="N4" s="9" t="n">
        <x:v>102</x:v>
      </x:c>
      <x:c r="O4" s="12" t="str">
        <x:v>68.67–136.67</x:v>
      </x:c>
      <x:c r="P4" s="3" t="b">
        <x:v>1</x:v>
      </x:c>
      <x:c r="Q4" s="3" t="b">
        <x:v>1</x:v>
      </x:c>
      <x:c r="R4" s="2" t="str">
        <x:v>compared_both</x:v>
      </x:c>
      <x:c r="S4" s="11" t="str">
        <x:v>Mixed crossing categories: 3, 4</x:v>
      </x:c>
    </x:row>
    <x:row r="5" ht="32" customHeight="1">
      <x:c r="A5" s="2" t="str">
        <x:v>250303-04</x:v>
      </x:c>
      <x:c r="B5" s="2" t="str">
        <x:v>H009</x:v>
      </x:c>
      <x:c r="C5" s="8" t="n">
        <x:v>278.3</x:v>
      </x:c>
      <x:c r="D5" s="2" t="str">
        <x:v>H009-278.3</x:v>
      </x:c>
      <x:c r="E5" s="9" t="n">
        <x:v>16</x:v>
      </x:c>
      <x:c r="F5" s="9" t="n">
        <x:v>2.22473358865958</x:v>
      </x:c>
      <x:c r="G5" s="9" t="n">
        <x:v>7</x:v>
      </x:c>
      <x:c r="H5" s="13" t="n">
        <x:v>3</x:v>
      </x:c>
      <x:c r="I5" s="13" t="n">
        <x:v>2</x:v>
      </x:c>
      <x:c r="J5" s="13"/>
      <x:c r="K5" s="12" t="str">
        <x:v>2.67–11.67</x:v>
      </x:c>
      <x:c r="L5" s="9" t="n">
        <x:v>11</x:v>
      </x:c>
      <x:c r="M5" s="9" t="n">
        <x:v>3.65171324837878</x:v>
      </x:c>
      <x:c r="N5" s="9" t="n">
        <x:v>26</x:v>
      </x:c>
      <x:c r="O5" s="12" t="str">
        <x:v>10.33–43.33</x:v>
      </x:c>
      <x:c r="P5" s="3" t="b">
        <x:v>1</x:v>
      </x:c>
      <x:c r="Q5" s="3" t="b">
        <x:v>1</x:v>
      </x:c>
      <x:c r="R5" s="2" t="str">
        <x:v>compared_both</x:v>
      </x:c>
      <x:c r="S5" s="11" t="str">
        <x:v>Mixed crossing categories: 2, 3</x:v>
      </x:c>
    </x:row>
    <x:row r="6" ht="32" customHeight="1">
      <x:c r="A6" s="2" t="str">
        <x:v>250303-05</x:v>
      </x:c>
      <x:c r="B6" s="2" t="str">
        <x:v>H009</x:v>
      </x:c>
      <x:c r="C6" s="8" t="n">
        <x:v>57.9</x:v>
      </x:c>
      <x:c r="D6" s="2" t="str">
        <x:v>H009-57.9</x:v>
      </x:c>
      <x:c r="E6" s="9" t="n">
        <x:v>57.3333333333333</x:v>
      </x:c>
      <x:c r="F6" s="9" t="n">
        <x:v>37.4460902494697</x:v>
      </x:c>
      <x:c r="G6" s="9" t="n">
        <x:v>63.75</x:v>
      </x:c>
      <x:c r="H6" s="13" t="n">
        <x:v>5</x:v>
      </x:c>
      <x:c r="I6" s="13" t="n">
        <x:v>4</x:v>
      </x:c>
      <x:c r="J6" s="13"/>
      <x:c r="K6" s="12" t="str">
        <x:v>41–87.5</x:v>
      </x:c>
      <x:c r="L6" s="9" t="n">
        <x:v>108</x:v>
      </x:c>
      <x:c r="M6" s="9" t="n">
        <x:v>71.3996637174419</x:v>
      </x:c>
      <x:c r="N6" s="9" t="n">
        <x:v>78</x:v>
      </x:c>
      <x:c r="O6" s="12" t="str">
        <x:v>52–105</x:v>
      </x:c>
      <x:c r="P6" s="3" t="b">
        <x:v>1</x:v>
      </x:c>
      <x:c r="Q6" s="3" t="b">
        <x:v>1</x:v>
      </x:c>
      <x:c r="R6" s="2" t="str">
        <x:v>compared_both</x:v>
      </x:c>
      <x:c r="S6" s="11" t="str">
        <x:v>Mixed crossing categories: 3, 5, 6</x:v>
      </x:c>
    </x:row>
    <x:row r="7" ht="32" customHeight="1">
      <x:c r="A7" s="2" t="str">
        <x:v>250303-06</x:v>
      </x:c>
      <x:c r="B7" s="2" t="str">
        <x:v>H009</x:v>
      </x:c>
      <x:c r="C7" s="8" t="n">
        <x:v>111.3</x:v>
      </x:c>
      <x:c r="D7" s="2" t="str">
        <x:v>H009-111.3</x:v>
      </x:c>
      <x:c r="E7" s="9" t="n">
        <x:v>52</x:v>
      </x:c>
      <x:c r="F7" s="9" t="n">
        <x:v>4.15808734353255</x:v>
      </x:c>
      <x:c r="G7" s="9" t="n">
        <x:v>22.6666666666667</x:v>
      </x:c>
      <x:c r="H7" s="13" t="n">
        <x:v>5</x:v>
      </x:c>
      <x:c r="I7" s="13" t="n">
        <x:v>2</x:v>
      </x:c>
      <x:c r="J7" s="13"/>
      <x:c r="K7" s="12" t="str">
        <x:v>12.67–33.33</x:v>
      </x:c>
      <x:c r="L7" s="9" t="n">
        <x:v>21.3333333333333</x:v>
      </x:c>
      <x:c r="M7" s="9" t="n">
        <x:v>7.70995805277779</x:v>
      </x:c>
      <x:c r="N7" s="9" t="n">
        <x:v>150</x:v>
      </x:c>
      <x:c r="O7" s="12" t="str">
        <x:v>102–200</x:v>
      </x:c>
      <x:c r="P7" s="3" t="b">
        <x:v>1</x:v>
      </x:c>
      <x:c r="Q7" s="3" t="b">
        <x:v>1</x:v>
      </x:c>
      <x:c r="R7" s="2" t="str">
        <x:v>compared_both</x:v>
      </x:c>
      <x:c r="S7" s="11" t="str">
        <x:v>Mixed crossing categories: 3, 4</x:v>
      </x:c>
    </x:row>
    <x:row r="8" ht="32" customHeight="1">
      <x:c r="A8" s="2" t="str">
        <x:v>250303-07</x:v>
      </x:c>
      <x:c r="B8" s="2" t="str">
        <x:v>H009</x:v>
      </x:c>
      <x:c r="C8" s="8" t="n">
        <x:v>185.5</x:v>
      </x:c>
      <x:c r="D8" s="2" t="str">
        <x:v>H009-185.5</x:v>
      </x:c>
      <x:c r="E8" s="9" t="n">
        <x:v>46.6666666666667</x:v>
      </x:c>
      <x:c r="F8" s="9" t="n">
        <x:v>37.4460902494697</x:v>
      </x:c>
      <x:c r="G8" s="9" t="n">
        <x:v>38</x:v>
      </x:c>
      <x:c r="H8" s="13" t="n">
        <x:v>4</x:v>
      </x:c>
      <x:c r="I8" s="13" t="n">
        <x:v>4</x:v>
      </x:c>
      <x:c r="J8" s="13" t="n">
        <x:v>4</x:v>
      </x:c>
      <x:c r="K8" s="12" t="str">
        <x:v>26–50</x:v>
      </x:c>
      <x:c r="L8" s="9" t="n">
        <x:v>52.3333333333333</x:v>
      </x:c>
      <x:c r="M8" s="9" t="n">
        <x:v>71.3996637174419</x:v>
      </x:c>
      <x:c r="N8" s="9" t="n">
        <x:v>51</x:v>
      </x:c>
      <x:c r="O8" s="12" t="str">
        <x:v>34.33–68.33</x:v>
      </x:c>
      <x:c r="P8" s="3" t="b">
        <x:v>1</x:v>
      </x:c>
      <x:c r="Q8" s="3" t="b">
        <x:v>1</x:v>
      </x:c>
      <x:c r="R8" s="2" t="str">
        <x:v>compared_both</x:v>
      </x:c>
      <x:c r="S8" s="11" t="str">
        <x:v>Client mean spans multiple carriageways</x:v>
      </x:c>
    </x:row>
    <x:row r="9" ht="32" customHeight="1">
      <x:c r="A9" s="2" t="str">
        <x:v>250303-08</x:v>
      </x:c>
      <x:c r="B9" s="2" t="str">
        <x:v>M042</x:v>
      </x:c>
      <x:c r="C9" s="8" t="n">
        <x:v>1.1</x:v>
      </x:c>
      <x:c r="D9" s="2" t="str">
        <x:v>M042-1.1</x:v>
      </x:c>
      <x:c r="E9" s="9" t="n">
        <x:v>34.3333333333333</x:v>
      </x:c>
      <x:c r="F9" s="9" t="n">
        <x:v>30.608277747067</x:v>
      </x:c>
      <x:c r="G9" s="9" t="n">
        <x:v>26.5</x:v>
      </x:c>
      <x:c r="H9" s="13" t="n">
        <x:v>4</x:v>
      </x:c>
      <x:c r="I9" s="13" t="n">
        <x:v>4</x:v>
      </x:c>
      <x:c r="J9" s="13"/>
      <x:c r="K9" s="12" t="str">
        <x:v>16–37.5</x:v>
      </x:c>
      <x:c r="L9" s="9" t="n">
        <x:v>53</x:v>
      </x:c>
      <x:c r="M9" s="9" t="n">
        <x:v>51.7729471822099</x:v>
      </x:c>
      <x:c r="N9" s="9" t="n">
        <x:v>84</x:v>
      </x:c>
      <x:c r="O9" s="12" t="str">
        <x:v>54.5–115</x:v>
      </x:c>
      <x:c r="P9" s="3" t="b">
        <x:v>1</x:v>
      </x:c>
      <x:c r="Q9" s="3" t="b">
        <x:v>1</x:v>
      </x:c>
      <x:c r="R9" s="2" t="str">
        <x:v>compared_both</x:v>
      </x:c>
      <x:c r="S9" s="11" t="str">
        <x:v>Mixed crossing categories: 3, 4</x:v>
      </x:c>
    </x:row>
    <x:row r="10" ht="32" customHeight="1">
      <x:c r="A10" s="2" t="str">
        <x:v>250303-09</x:v>
      </x:c>
      <x:c r="B10" s="2" t="str">
        <x:v>H009</x:v>
      </x:c>
      <x:c r="C10" s="8" t="n">
        <x:v>83.5</x:v>
      </x:c>
      <x:c r="D10" s="2" t="str">
        <x:v>H009-83.5</x:v>
      </x:c>
      <x:c r="E10" s="9" t="n">
        <x:v>26.3333333333333</x:v>
      </x:c>
      <x:c r="F10" s="9" t="n">
        <x:v>28.5408023629786</x:v>
      </x:c>
      <x:c r="G10" s="9" t="n">
        <x:v>22.6666666666667</x:v>
      </x:c>
      <x:c r="H10" s="13" t="n">
        <x:v>4</x:v>
      </x:c>
      <x:c r="I10" s="13" t="n">
        <x:v>4</x:v>
      </x:c>
      <x:c r="J10" s="13"/>
      <x:c r="K10" s="12" t="str">
        <x:v>12.67–33.33</x:v>
      </x:c>
      <x:c r="L10" s="9" t="n">
        <x:v>13</x:v>
      </x:c>
      <x:c r="M10" s="9" t="n">
        <x:v>52.9386676042684</x:v>
      </x:c>
      <x:c r="N10" s="9" t="n">
        <x:v>102</x:v>
      </x:c>
      <x:c r="O10" s="12" t="str">
        <x:v>68.67–136.67</x:v>
      </x:c>
      <x:c r="P10" s="3" t="b">
        <x:v>1</x:v>
      </x:c>
      <x:c r="Q10" s="3" t="b">
        <x:v>1</x:v>
      </x:c>
      <x:c r="R10" s="2" t="str">
        <x:v>compared_both</x:v>
      </x:c>
      <x:c r="S10" s="11" t="str">
        <x:v>Mixed crossing categories: 3, 4</x:v>
      </x:c>
    </x:row>
    <x:row r="11" ht="32" customHeight="1">
      <x:c r="A11" s="2" t="str">
        <x:v>250303-10</x:v>
      </x:c>
      <x:c r="B11" s="2" t="str">
        <x:v>H009</x:v>
      </x:c>
      <x:c r="C11" s="8" t="n">
        <x:v>242.9</x:v>
      </x:c>
      <x:c r="D11" s="2" t="str">
        <x:v>H009-242.9</x:v>
      </x:c>
      <x:c r="E11" s="9" t="n">
        <x:v>96.6666666666667</x:v>
      </x:c>
      <x:c r="F11" s="9" t="n">
        <x:v>107.141274737072</x:v>
      </x:c>
      <x:c r="G11" s="9" t="n">
        <x:v>22.6666666666667</x:v>
      </x:c>
      <x:c r="H11" s="13" t="n">
        <x:v>5</x:v>
      </x:c>
      <x:c r="I11" s="13" t="n">
        <x:v>6</x:v>
      </x:c>
      <x:c r="J11" s="13"/>
      <x:c r="K11" s="12" t="str">
        <x:v>12.67–33.33</x:v>
      </x:c>
      <x:c r="L11" s="9" t="n">
        <x:v>349.666666666667</x:v>
      </x:c>
      <x:c r="M11" s="9" t="n">
        <x:v>242.888229555798</x:v>
      </x:c>
      <x:c r="N11" s="9" t="n">
        <x:v>102</x:v>
      </x:c>
      <x:c r="O11" s="12" t="str">
        <x:v>68.67–136.67</x:v>
      </x:c>
      <x:c r="P11" s="3" t="b">
        <x:v>1</x:v>
      </x:c>
      <x:c r="Q11" s="3" t="b">
        <x:v>1</x:v>
      </x:c>
      <x:c r="R11" s="2" t="str">
        <x:v>compared_both</x:v>
      </x:c>
      <x:c r="S11" s="11" t="str">
        <x:v>Mixed crossing categories: 3, 4</x:v>
      </x:c>
    </x:row>
    <x:row r="12" ht="32" customHeight="1">
      <x:c r="A12" s="2" t="str">
        <x:v>250303-11</x:v>
      </x:c>
      <x:c r="B12" s="2" t="str">
        <x:v>H043</x:v>
      </x:c>
      <x:c r="C12" s="8" t="n">
        <x:v>85.8</x:v>
      </x:c>
      <x:c r="D12" s="2" t="str">
        <x:v>H043-85.8</x:v>
      </x:c>
      <x:c r="E12" s="9" t="n">
        <x:v>192.333333333333</x:v>
      </x:c>
      <x:c r="F12" s="9" t="n">
        <x:v>89.4091435851842</x:v>
      </x:c>
      <x:c r="G12" s="9" t="n">
        <x:v>35</x:v>
      </x:c>
      <x:c r="H12" s="13" t="n">
        <x:v>6</x:v>
      </x:c>
      <x:c r="I12" s="13" t="n">
        <x:v>5</x:v>
      </x:c>
      <x:c r="J12" s="13"/>
      <x:c r="K12" s="12" t="str">
        <x:v>21–50</x:v>
      </x:c>
      <x:c r="L12" s="9" t="n">
        <x:v>328.666666666667</x:v>
      </x:c>
      <x:c r="M12" s="9" t="n">
        <x:v>172.841081256918</x:v>
      </x:c>
      <x:c r="N12" s="9" t="n">
        <x:v>150</x:v>
      </x:c>
      <x:c r="O12" s="12" t="str">
        <x:v>102–200</x:v>
      </x:c>
      <x:c r="P12" s="3" t="b">
        <x:v>1</x:v>
      </x:c>
      <x:c r="Q12" s="3" t="b">
        <x:v>1</x:v>
      </x:c>
      <x:c r="R12" s="2" t="str">
        <x:v>compared_both</x:v>
      </x:c>
      <x:c r="S12" s="11" t="str">
        <x:v>Mixed crossing categories: 3, 5</x:v>
      </x:c>
    </x:row>
    <x:row r="13" ht="32" customHeight="1">
      <x:c r="A13" s="2" t="str">
        <x:v>250303-12</x:v>
      </x:c>
      <x:c r="B13" s="2" t="str">
        <x:v>H043</x:v>
      </x:c>
      <x:c r="C13" s="8" t="n">
        <x:v>140.6</x:v>
      </x:c>
      <x:c r="D13" s="2" t="str">
        <x:v>H043-140.6</x:v>
      </x:c>
      <x:c r="E13" s="9" t="n">
        <x:v>52</x:v>
      </x:c>
      <x:c r="F13" s="9" t="n">
        <x:v>38.3101718276473</x:v>
      </x:c>
      <x:c r="G13" s="9" t="n">
        <x:v>22.6666666666667</x:v>
      </x:c>
      <x:c r="H13" s="13" t="n">
        <x:v>5</x:v>
      </x:c>
      <x:c r="I13" s="13" t="n">
        <x:v>4</x:v>
      </x:c>
      <x:c r="J13" s="13"/>
      <x:c r="K13" s="12" t="str">
        <x:v>12.67–33.33</x:v>
      </x:c>
      <x:c r="L13" s="9" t="n">
        <x:v>91.6666666666667</x:v>
      </x:c>
      <x:c r="M13" s="9" t="n">
        <x:v>61.0918223716678</x:v>
      </x:c>
      <x:c r="N13" s="9" t="n">
        <x:v>126</x:v>
      </x:c>
      <x:c r="O13" s="12" t="str">
        <x:v>85.33–168.33</x:v>
      </x:c>
      <x:c r="P13" s="3" t="b">
        <x:v>1</x:v>
      </x:c>
      <x:c r="Q13" s="3" t="b">
        <x:v>1</x:v>
      </x:c>
      <x:c r="R13" s="2" t="str">
        <x:v>compared_both</x:v>
      </x:c>
      <x:c r="S13" s="11" t="str">
        <x:v>Mixed crossing categories: 3, 4</x:v>
      </x:c>
    </x:row>
    <x:row r="14" ht="32" customHeight="1">
      <x:c r="A14" s="2" t="str">
        <x:v>250303-13</x:v>
      </x:c>
      <x:c r="B14" s="2" t="str">
        <x:v>H009</x:v>
      </x:c>
      <x:c r="C14" s="8" t="n">
        <x:v>170.3</x:v>
      </x:c>
      <x:c r="D14" s="2" t="str">
        <x:v>H009-170.3</x:v>
      </x:c>
      <x:c r="E14" s="9" t="n">
        <x:v>3</x:v>
      </x:c>
      <x:c r="F14" s="9" t="n">
        <x:v>20.862897982185</x:v>
      </x:c>
      <x:c r="G14" s="9" t="n">
        <x:v>15</x:v>
      </x:c>
      <x:c r="H14" s="13" t="n">
        <x:v>2</x:v>
      </x:c>
      <x:c r="I14" s="13" t="n">
        <x:v>3</x:v>
      </x:c>
      <x:c r="J14" s="13" t="n">
        <x:v>3</x:v>
      </x:c>
      <x:c r="K14" s="12" t="str">
        <x:v>6–25</x:v>
      </x:c>
      <x:c r="L14" s="9" t="n">
        <x:v>12.3333333333333</x:v>
      </x:c>
      <x:c r="M14" s="9" t="n">
        <x:v>39.2425400796142</x:v>
      </x:c>
      <x:c r="N14" s="9" t="n">
        <x:v>126</x:v>
      </x:c>
      <x:c r="O14" s="12" t="str">
        <x:v>85.33–168.33</x:v>
      </x:c>
      <x:c r="P14" s="3" t="b">
        <x:v>1</x:v>
      </x:c>
      <x:c r="Q14" s="3" t="b">
        <x:v>1</x:v>
      </x:c>
      <x:c r="R14" s="2" t="str">
        <x:v>compared_both</x:v>
      </x:c>
      <x:c r="S14" s="11" t="str"/>
    </x:row>
    <x:row r="15" ht="32" customHeight="1">
      <x:c r="A15" s="2" t="str">
        <x:v>250303-14</x:v>
      </x:c>
      <x:c r="B15" s="2" t="str">
        <x:v>H009</x:v>
      </x:c>
      <x:c r="C15" s="8" t="n">
        <x:v>131.65</x:v>
      </x:c>
      <x:c r="D15" s="2" t="str">
        <x:v>H009-131.65</x:v>
      </x:c>
      <x:c r="E15" s="9" t="n">
        <x:v>32.3333333333333</x:v>
      </x:c>
      <x:c r="F15" s="9" t="n">
        <x:v>20.862897982185</x:v>
      </x:c>
      <x:c r="G15" s="9" t="n">
        <x:v>32.25</x:v>
      </x:c>
      <x:c r="H15" s="13" t="n">
        <x:v>4</x:v>
      </x:c>
      <x:c r="I15" s="13" t="n">
        <x:v>3</x:v>
      </x:c>
      <x:c r="J15" s="13"/>
      <x:c r="K15" s="12" t="str">
        <x:v>21–43.75</x:v>
      </x:c>
      <x:c r="L15" s="9" t="n">
        <x:v>30.6666666666667</x:v>
      </x:c>
      <x:c r="M15" s="9" t="n">
        <x:v>39.2425400796142</x:v>
      </x:c>
      <x:c r="N15" s="9" t="n">
        <x:v>96</x:v>
      </x:c>
      <x:c r="O15" s="12" t="str">
        <x:v>64.5–128.75</x:v>
      </x:c>
      <x:c r="P15" s="3" t="b">
        <x:v>1</x:v>
      </x:c>
      <x:c r="Q15" s="3" t="b">
        <x:v>1</x:v>
      </x:c>
      <x:c r="R15" s="2" t="str">
        <x:v>compared_both</x:v>
      </x:c>
      <x:c r="S15" s="11" t="str">
        <x:v>Mixed crossing categories: 3, 4</x:v>
      </x:c>
    </x:row>
    <x:row r="16" ht="32" customHeight="1">
      <x:c r="A16" s="2" t="str">
        <x:v>250303-15</x:v>
      </x:c>
      <x:c r="B16" s="2" t="str">
        <x:v>M074</x:v>
      </x:c>
      <x:c r="C16" s="8" t="n">
        <x:v>7.2</x:v>
      </x:c>
      <x:c r="D16" s="2" t="str">
        <x:v>M074-7.2</x:v>
      </x:c>
      <x:c r="E16" s="9" t="n">
        <x:v>0.333333333333333</x:v>
      </x:c>
      <x:c r="F16" s="9" t="n">
        <x:v>4.38168686805392</x:v>
      </x:c>
      <x:c r="G16" s="9"/>
      <x:c r="H16" s="13" t="n">
        <x:v>2</x:v>
      </x:c>
      <x:c r="I16" s="13" t="n">
        <x:v>2</x:v>
      </x:c>
      <x:c r="J16" s="13"/>
      <x:c r="K16" s="12"/>
      <x:c r="L16" s="9" t="n">
        <x:v>5.33333333333333</x:v>
      </x:c>
      <x:c r="M16" s="9" t="n">
        <x:v>7.61722275221222</x:v>
      </x:c>
      <x:c r="N16" s="9"/>
      <x:c r="O16" s="12"/>
      <x:c r="P16" s="3" t="b">
        <x:v>0</x:v>
      </x:c>
      <x:c r="Q16" s="3" t="b">
        <x:v>0</x:v>
      </x:c>
      <x:c r="R16" s="2" t="str">
        <x:v>reference_unavailable</x:v>
      </x:c>
      <x:c r="S16" s="11" t="str">
        <x:v>Client reference flow values missing</x:v>
      </x:c>
    </x:row>
    <x:row r="17" ht="32" customHeight="1">
      <x:c r="A17" s="2" t="str">
        <x:v>250303-16</x:v>
      </x:c>
      <x:c r="B17" s="2" t="str">
        <x:v>M023</x:v>
      </x:c>
      <x:c r="C17" s="8" t="n">
        <x:v>19.16</x:v>
      </x:c>
      <x:c r="D17" s="2" t="str">
        <x:v>M023-19.16</x:v>
      </x:c>
      <x:c r="E17" s="9" t="n">
        <x:v>15</x:v>
      </x:c>
      <x:c r="F17" s="9" t="n">
        <x:v>9.55426639240122</x:v>
      </x:c>
      <x:c r="G17" s="9" t="n">
        <x:v>15</x:v>
      </x:c>
      <x:c r="H17" s="13" t="n">
        <x:v>3</x:v>
      </x:c>
      <x:c r="I17" s="13" t="n">
        <x:v>3</x:v>
      </x:c>
      <x:c r="J17" s="13" t="n">
        <x:v>3</x:v>
      </x:c>
      <x:c r="K17" s="12" t="str">
        <x:v>6–25</x:v>
      </x:c>
      <x:c r="L17" s="9" t="n">
        <x:v>30.6666666666667</x:v>
      </x:c>
      <x:c r="M17" s="9" t="n">
        <x:v>14.8642185388526</x:v>
      </x:c>
      <x:c r="N17" s="9" t="n">
        <x:v>78</x:v>
      </x:c>
      <x:c r="O17" s="12" t="str">
        <x:v>52–105</x:v>
      </x:c>
      <x:c r="P17" s="3" t="b">
        <x:v>1</x:v>
      </x:c>
      <x:c r="Q17" s="3" t="b">
        <x:v>1</x:v>
      </x:c>
      <x:c r="R17" s="2" t="str">
        <x:v>compared_both</x:v>
      </x:c>
      <x:c r="S17" s="11" t="str"/>
    </x:row>
    <x:row r="18" ht="32" customHeight="1">
      <x:c r="A18" s="2" t="str">
        <x:v>250303-17</x:v>
      </x:c>
      <x:c r="B18" s="2" t="str">
        <x:v>H043</x:v>
      </x:c>
      <x:c r="C18" s="8" t="n">
        <x:v>3.9</x:v>
      </x:c>
      <x:c r="D18" s="2" t="str">
        <x:v>H043-3.9</x:v>
      </x:c>
      <x:c r="E18" s="9" t="n">
        <x:v>0.333333333333333</x:v>
      </x:c>
      <x:c r="F18" s="9" t="n">
        <x:v>3.61215401171407</x:v>
      </x:c>
      <x:c r="G18" s="9" t="n">
        <x:v>16.5</x:v>
      </x:c>
      <x:c r="H18" s="13" t="n">
        <x:v>2</x:v>
      </x:c>
      <x:c r="I18" s="13" t="n">
        <x:v>2</x:v>
      </x:c>
      <x:c r="J18" s="13"/>
      <x:c r="K18" s="12" t="str">
        <x:v>10–23.33</x:v>
      </x:c>
      <x:c r="L18" s="9" t="n">
        <x:v>10</x:v>
      </x:c>
      <x:c r="M18" s="9" t="n">
        <x:v>6.00867163249303</x:v>
      </x:c>
      <x:c r="N18" s="9" t="n">
        <x:v>18.6666666666667</x:v>
      </x:c>
      <x:c r="O18" s="12" t="str">
        <x:v>11–26.67</x:v>
      </x:c>
      <x:c r="P18" s="3" t="b">
        <x:v>1</x:v>
      </x:c>
      <x:c r="Q18" s="3" t="b">
        <x:v>1</x:v>
      </x:c>
      <x:c r="R18" s="2" t="str">
        <x:v>compared_both</x:v>
      </x:c>
      <x:c r="S18" s="11" t="str">
        <x:v>Mixed crossing categories: 1, 2, 3, 5; Client mean spans multiple carriageways</x:v>
      </x:c>
    </x:row>
    <x:row r="19" ht="56" customHeight="1">
      <x:c r="A19" s="2" t="str">
        <x:v>250341-01</x:v>
      </x:c>
      <x:c r="B19" s="2" t="str">
        <x:v>H042</x:v>
      </x:c>
      <x:c r="C19" s="8" t="n">
        <x:v>31.6</x:v>
      </x:c>
      <x:c r="D19" s="2" t="str">
        <x:v>H042-31.6</x:v>
      </x:c>
      <x:c r="E19" s="9" t="n">
        <x:v>8.33333333333333</x:v>
      </x:c>
      <x:c r="F19" s="9" t="n">
        <x:v>4.24575868254305</x:v>
      </x:c>
      <x:c r="G19" s="9" t="n">
        <x:v>18.6666666666667</x:v>
      </x:c>
      <x:c r="H19" s="13" t="n">
        <x:v>3</x:v>
      </x:c>
      <x:c r="I19" s="13" t="n">
        <x:v>2</x:v>
      </x:c>
      <x:c r="J19" s="13"/>
      <x:c r="K19" s="12" t="str">
        <x:v>11–26.67</x:v>
      </x:c>
      <x:c r="L19" s="9" t="n">
        <x:v>20.3333333333333</x:v>
      </x:c>
      <x:c r="M19" s="9" t="n">
        <x:v>6.3196530836673</x:v>
      </x:c>
      <x:c r="N19" s="9" t="n">
        <x:v>58</x:v>
      </x:c>
      <x:c r="O19" s="12" t="str">
        <x:v>37–80</x:v>
      </x:c>
      <x:c r="P19" s="3" t="b">
        <x:v>1</x:v>
      </x:c>
      <x:c r="Q19" s="3" t="b">
        <x:v>0</x:v>
      </x:c>
      <x:c r="R19" s="2" t="str">
        <x:v>compared_cross_only</x:v>
      </x:c>
      <x:c r="S19" s="11" t="str">
        <x:v>Excluded from along-road metrics: along_coverage_unconfirmed_south_walkway; Mixed crossing categories: 2, 3, 4</x:v>
      </x:c>
    </x:row>
    <x:row r="20" ht="32" customHeight="1">
      <x:c r="A20" s="2" t="str">
        <x:v>250341-02</x:v>
      </x:c>
      <x:c r="B20" s="2" t="str">
        <x:v>H011</x:v>
      </x:c>
      <x:c r="C20" s="8" t="n">
        <x:v>44.46</x:v>
      </x:c>
      <x:c r="D20" s="2" t="str">
        <x:v>H011-44.46</x:v>
      </x:c>
      <x:c r="E20" s="9" t="n">
        <x:v>10.6666666666667</x:v>
      </x:c>
      <x:c r="F20" s="9" t="n">
        <x:v>3.12415235779679</x:v>
      </x:c>
      <x:c r="G20" s="9" t="n">
        <x:v>2</x:v>
      </x:c>
      <x:c r="H20" s="13" t="n">
        <x:v>3</x:v>
      </x:c>
      <x:c r="I20" s="13" t="n">
        <x:v>2</x:v>
      </x:c>
      <x:c r="J20" s="13"/>
      <x:c r="K20" s="12" t="str">
        <x:v>0.67–3.33</x:v>
      </x:c>
      <x:c r="L20" s="9" t="n">
        <x:v>10</x:v>
      </x:c>
      <x:c r="M20" s="9" t="n">
        <x:v>7.20994785361989</x:v>
      </x:c>
      <x:c r="N20" s="9" t="n">
        <x:v>20</x:v>
      </x:c>
      <x:c r="O20" s="12" t="str">
        <x:v>8–33.33</x:v>
      </x:c>
      <x:c r="P20" s="3" t="b">
        <x:v>1</x:v>
      </x:c>
      <x:c r="Q20" s="3" t="b">
        <x:v>1</x:v>
      </x:c>
      <x:c r="R20" s="2" t="str">
        <x:v>compared_both</x:v>
      </x:c>
      <x:c r="S20" s="11" t="str">
        <x:v>Mixed crossing categories: 1, 2</x:v>
      </x:c>
    </x:row>
    <x:row r="21" ht="32" customHeight="1">
      <x:c r="A21" s="2" t="str">
        <x:v>250341-03</x:v>
      </x:c>
      <x:c r="B21" s="2" t="str">
        <x:v>H047</x:v>
      </x:c>
      <x:c r="C21" s="8" t="n">
        <x:v>41.88</x:v>
      </x:c>
      <x:c r="D21" s="2" t="str">
        <x:v>H047-41.88</x:v>
      </x:c>
      <x:c r="E21" s="9" t="n">
        <x:v>5.33333333333333</x:v>
      </x:c>
      <x:c r="F21" s="9" t="n">
        <x:v>4.02599004490522</x:v>
      </x:c>
      <x:c r="G21" s="9" t="n">
        <x:v>2</x:v>
      </x:c>
      <x:c r="H21" s="13" t="n">
        <x:v>3</x:v>
      </x:c>
      <x:c r="I21" s="13" t="n">
        <x:v>2</x:v>
      </x:c>
      <x:c r="J21" s="13"/>
      <x:c r="K21" s="12" t="str">
        <x:v>0.67–3.33</x:v>
      </x:c>
      <x:c r="L21" s="9" t="n">
        <x:v>15.6666666666667</x:v>
      </x:c>
      <x:c r="M21" s="9" t="n">
        <x:v>6.83082850973876</x:v>
      </x:c>
      <x:c r="N21" s="9" t="n">
        <x:v>39</x:v>
      </x:c>
      <x:c r="O21" s="12" t="str">
        <x:v>26–52.5</x:v>
      </x:c>
      <x:c r="P21" s="3" t="b">
        <x:v>1</x:v>
      </x:c>
      <x:c r="Q21" s="3" t="b">
        <x:v>1</x:v>
      </x:c>
      <x:c r="R21" s="2" t="str">
        <x:v>compared_both</x:v>
      </x:c>
      <x:c r="S21" s="11" t="str">
        <x:v>Mixed crossing categories: 1, 2; Client mean spans multiple carriageways</x:v>
      </x:c>
    </x:row>
    <x:row r="22" ht="32" customHeight="1">
      <x:c r="A22" s="2" t="str">
        <x:v>250341-04</x:v>
      </x:c>
      <x:c r="B22" s="2" t="str">
        <x:v>H006</x:v>
      </x:c>
      <x:c r="C22" s="8" t="n">
        <x:v>2522.8</x:v>
      </x:c>
      <x:c r="D22" s="2" t="str">
        <x:v>H006-2522.8</x:v>
      </x:c>
      <x:c r="E22" s="9" t="n">
        <x:v>87</x:v>
      </x:c>
      <x:c r="F22" s="9" t="n">
        <x:v>2.7103845668182</x:v>
      </x:c>
      <x:c r="G22" s="9" t="n">
        <x:v>15</x:v>
      </x:c>
      <x:c r="H22" s="13" t="n">
        <x:v>5</x:v>
      </x:c>
      <x:c r="I22" s="13" t="n">
        <x:v>2</x:v>
      </x:c>
      <x:c r="J22" s="13" t="n">
        <x:v>3</x:v>
      </x:c>
      <x:c r="K22" s="12" t="str">
        <x:v>6–25</x:v>
      </x:c>
      <x:c r="L22" s="9" t="n">
        <x:v>17.3333333333333</x:v>
      </x:c>
      <x:c r="M22" s="9" t="n">
        <x:v>5.97209393210123</x:v>
      </x:c>
      <x:c r="N22" s="9" t="n">
        <x:v>150</x:v>
      </x:c>
      <x:c r="O22" s="12" t="str">
        <x:v>102–200</x:v>
      </x:c>
      <x:c r="P22" s="3" t="b">
        <x:v>1</x:v>
      </x:c>
      <x:c r="Q22" s="3" t="b">
        <x:v>1</x:v>
      </x:c>
      <x:c r="R22" s="2" t="str">
        <x:v>compared_both</x:v>
      </x:c>
      <x:c r="S22" s="11" t="str"/>
    </x:row>
    <x:row r="23" ht="32" customHeight="1">
      <x:c r="A23" s="2" t="str">
        <x:v>250341-05</x:v>
      </x:c>
      <x:c r="B23" s="2" t="str">
        <x:v>H046</x:v>
      </x:c>
      <x:c r="C23" s="8" t="n">
        <x:v>0.06</x:v>
      </x:c>
      <x:c r="D23" s="2" t="str">
        <x:v>H046-0.06</x:v>
      </x:c>
      <x:c r="E23" s="9" t="n">
        <x:v>0.666666666666667</x:v>
      </x:c>
      <x:c r="F23" s="9" t="n">
        <x:v>3.49611325043646</x:v>
      </x:c>
      <x:c r="G23" s="9" t="n">
        <x:v>3</x:v>
      </x:c>
      <x:c r="H23" s="13" t="n">
        <x:v>2</x:v>
      </x:c>
      <x:c r="I23" s="13" t="n">
        <x:v>2</x:v>
      </x:c>
      <x:c r="J23" s="13" t="n">
        <x:v>2</x:v>
      </x:c>
      <x:c r="K23" s="12" t="str">
        <x:v>1–5</x:v>
      </x:c>
      <x:c r="L23" s="9" t="n">
        <x:v>0.666666666666667</x:v>
      </x:c>
      <x:c r="M23" s="9" t="n">
        <x:v>6.87273556642884</x:v>
      </x:c>
      <x:c r="N23" s="9" t="n">
        <x:v>15</x:v>
      </x:c>
      <x:c r="O23" s="12" t="str">
        <x:v>6–25</x:v>
      </x:c>
      <x:c r="P23" s="3" t="b">
        <x:v>1</x:v>
      </x:c>
      <x:c r="Q23" s="3" t="b">
        <x:v>1</x:v>
      </x:c>
      <x:c r="R23" s="2" t="str">
        <x:v>compared_both</x:v>
      </x:c>
      <x:c r="S23" s="11" t="str">
        <x:v>Client mean spans multiple carriageways</x:v>
      </x:c>
    </x:row>
    <x:row r="24" ht="32" customHeight="1">
      <x:c r="A24" s="2" t="str">
        <x:v>250341-06</x:v>
      </x:c>
      <x:c r="B24" s="2" t="str">
        <x:v>H051</x:v>
      </x:c>
      <x:c r="C24" s="8" t="n">
        <x:v>7.03</x:v>
      </x:c>
      <x:c r="D24" s="2" t="str">
        <x:v>H051-7.03</x:v>
      </x:c>
      <x:c r="E24" s="9" t="n">
        <x:v>0</x:v>
      </x:c>
      <x:c r="F24" s="9" t="n">
        <x:v>4.7403904808958</x:v>
      </x:c>
      <x:c r="G24" s="9" t="n">
        <x:v>7</x:v>
      </x:c>
      <x:c r="H24" s="13" t="n">
        <x:v>1</x:v>
      </x:c>
      <x:c r="I24" s="13" t="n">
        <x:v>2</x:v>
      </x:c>
      <x:c r="J24" s="13"/>
      <x:c r="K24" s="12" t="str">
        <x:v>2.67–11.67</x:v>
      </x:c>
      <x:c r="L24" s="9" t="n">
        <x:v>1.33333333333333</x:v>
      </x:c>
      <x:c r="M24" s="9" t="n">
        <x:v>8.67327121508976</x:v>
      </x:c>
      <x:c r="N24" s="9" t="n">
        <x:v>8.83333333333333</x:v>
      </x:c>
      <x:c r="O24" s="12" t="str">
        <x:v>5.17–12.5</x:v>
      </x:c>
      <x:c r="P24" s="3" t="b">
        <x:v>1</x:v>
      </x:c>
      <x:c r="Q24" s="3" t="b">
        <x:v>1</x:v>
      </x:c>
      <x:c r="R24" s="2" t="str">
        <x:v>compared_both</x:v>
      </x:c>
      <x:c r="S24" s="11" t="str">
        <x:v>Mixed crossing categories: 2, 3; Client mean spans multiple carriageways</x:v>
      </x:c>
    </x:row>
    <x:row r="25" ht="32" customHeight="1">
      <x:c r="A25" s="2" t="str">
        <x:v>250341-07</x:v>
      </x:c>
      <x:c r="B25" s="2" t="str">
        <x:v>H044</x:v>
      </x:c>
      <x:c r="C25" s="8" t="n">
        <x:v>4.59</x:v>
      </x:c>
      <x:c r="D25" s="2" t="str">
        <x:v>H044-4.59</x:v>
      </x:c>
      <x:c r="E25" s="9" t="n">
        <x:v>2.66666666666667</x:v>
      </x:c>
      <x:c r="F25" s="9" t="n">
        <x:v>7.15050673300123</x:v>
      </x:c>
      <x:c r="G25" s="9" t="n">
        <x:v>15</x:v>
      </x:c>
      <x:c r="H25" s="13" t="n">
        <x:v>2</x:v>
      </x:c>
      <x:c r="I25" s="13" t="n">
        <x:v>3</x:v>
      </x:c>
      <x:c r="J25" s="13" t="n">
        <x:v>3</x:v>
      </x:c>
      <x:c r="K25" s="12" t="str">
        <x:v>6–25</x:v>
      </x:c>
      <x:c r="L25" s="9" t="n">
        <x:v>28</x:v>
      </x:c>
      <x:c r="M25" s="9" t="n">
        <x:v>12.2059027990662</x:v>
      </x:c>
      <x:c r="N25" s="9" t="n">
        <x:v>39</x:v>
      </x:c>
      <x:c r="O25" s="12" t="str">
        <x:v>26–52.5</x:v>
      </x:c>
      <x:c r="P25" s="3" t="b">
        <x:v>1</x:v>
      </x:c>
      <x:c r="Q25" s="3" t="b">
        <x:v>1</x:v>
      </x:c>
      <x:c r="R25" s="2" t="str">
        <x:v>compared_both</x:v>
      </x:c>
      <x:c r="S25" s="11" t="str">
        <x:v>Client mean spans multiple carriageways</x:v>
      </x:c>
    </x:row>
    <x:row r="26" ht="32" customHeight="1">
      <x:c r="A26" s="2" t="str">
        <x:v>260335-28</x:v>
      </x:c>
      <x:c r="B26" s="2" t="str">
        <x:v>H005</x:v>
      </x:c>
      <x:c r="C26" s="8" t="n">
        <x:v>553.12</x:v>
      </x:c>
      <x:c r="D26" s="2" t="str">
        <x:v>H005-553.12</x:v>
      </x:c>
      <x:c r="E26" s="9" t="n">
        <x:v>3.33333333333333</x:v>
      </x:c>
      <x:c r="F26" s="9" t="n">
        <x:v>6.75834584835355</x:v>
      </x:c>
      <x:c r="G26" s="9" t="n">
        <x:v>15</x:v>
      </x:c>
      <x:c r="H26" s="13" t="n">
        <x:v>2</x:v>
      </x:c>
      <x:c r="I26" s="13" t="n">
        <x:v>3</x:v>
      </x:c>
      <x:c r="J26" s="13" t="n">
        <x:v>3</x:v>
      </x:c>
      <x:c r="K26" s="12" t="str">
        <x:v>6–25</x:v>
      </x:c>
      <x:c r="L26" s="9" t="n">
        <x:v>11.6666666666667</x:v>
      </x:c>
      <x:c r="M26" s="9" t="n">
        <x:v>13.2027163119535</x:v>
      </x:c>
      <x:c r="N26" s="9" t="n">
        <x:v>126</x:v>
      </x:c>
      <x:c r="O26" s="12" t="str">
        <x:v>85.33–168.33</x:v>
      </x:c>
      <x:c r="P26" s="3" t="b">
        <x:v>1</x:v>
      </x:c>
      <x:c r="Q26" s="3" t="b">
        <x:v>1</x:v>
      </x:c>
      <x:c r="R26" s="2" t="str">
        <x:v>compared_both</x:v>
      </x:c>
      <x:c r="S26" s="11" t="str"/>
    </x:row>
    <x:row r="27" ht="32" customHeight="1">
      <x:c r="A27" s="2" t="str">
        <x:v>260335-29</x:v>
      </x:c>
      <x:c r="B27" s="2" t="str">
        <x:v>H005</x:v>
      </x:c>
      <x:c r="C27" s="8" t="n">
        <x:v>589.84</x:v>
      </x:c>
      <x:c r="D27" s="2" t="str">
        <x:v>H005-589.84</x:v>
      </x:c>
      <x:c r="E27" s="9" t="n">
        <x:v>9.33333333333333</x:v>
      </x:c>
      <x:c r="F27" s="9" t="n">
        <x:v>5.06639828864138</x:v>
      </x:c>
      <x:c r="G27" s="9" t="n">
        <x:v>7</x:v>
      </x:c>
      <x:c r="H27" s="13" t="n">
        <x:v>3</x:v>
      </x:c>
      <x:c r="I27" s="13" t="n">
        <x:v>3</x:v>
      </x:c>
      <x:c r="J27" s="13"/>
      <x:c r="K27" s="12" t="str">
        <x:v>2.67–11.67</x:v>
      </x:c>
      <x:c r="L27" s="9" t="n">
        <x:v>10.6666666666667</x:v>
      </x:c>
      <x:c r="M27" s="9" t="n">
        <x:v>8.96871215495587</x:v>
      </x:c>
      <x:c r="N27" s="9" t="n">
        <x:v>5</x:v>
      </x:c>
      <x:c r="O27" s="12" t="str">
        <x:v>1.83–8.33</x:v>
      </x:c>
      <x:c r="P27" s="3" t="b">
        <x:v>1</x:v>
      </x:c>
      <x:c r="Q27" s="3" t="b">
        <x:v>1</x:v>
      </x:c>
      <x:c r="R27" s="2" t="str">
        <x:v>compared_both</x:v>
      </x:c>
      <x:c r="S27" s="11" t="str">
        <x:v>Mixed crossing categories: 2, 3; Client mean spans multiple carriageways</x:v>
      </x:c>
    </x:row>
    <x:row r="28" ht="32" customHeight="1">
      <x:c r="A28" s="2" t="str">
        <x:v>260335-30</x:v>
      </x:c>
      <x:c r="B28" s="2" t="str">
        <x:v>H049</x:v>
      </x:c>
      <x:c r="C28" s="8" t="n">
        <x:v>19.47</x:v>
      </x:c>
      <x:c r="D28" s="2" t="str">
        <x:v>H049-19.47</x:v>
      </x:c>
      <x:c r="E28" s="9" t="n">
        <x:v>5.66666666666667</x:v>
      </x:c>
      <x:c r="F28" s="9" t="n">
        <x:v>7.15050673300123</x:v>
      </x:c>
      <x:c r="G28" s="9" t="n">
        <x:v>3</x:v>
      </x:c>
      <x:c r="H28" s="13" t="n">
        <x:v>3</x:v>
      </x:c>
      <x:c r="I28" s="13" t="n">
        <x:v>3</x:v>
      </x:c>
      <x:c r="J28" s="13" t="n">
        <x:v>2</x:v>
      </x:c>
      <x:c r="K28" s="12" t="str">
        <x:v>1–5</x:v>
      </x:c>
      <x:c r="L28" s="9" t="n">
        <x:v>1.66666666666667</x:v>
      </x:c>
      <x:c r="M28" s="9" t="n">
        <x:v>12.2059027990662</x:v>
      </x:c>
      <x:c r="N28" s="9" t="n">
        <x:v>30</x:v>
      </x:c>
      <x:c r="O28" s="12" t="str">
        <x:v>12–50</x:v>
      </x:c>
      <x:c r="P28" s="3" t="b">
        <x:v>1</x:v>
      </x:c>
      <x:c r="Q28" s="3" t="b">
        <x:v>1</x:v>
      </x:c>
      <x:c r="R28" s="2" t="str">
        <x:v>compared_both</x:v>
      </x:c>
      <x:c r="S28" s="11" t="str"/>
    </x:row>
    <x:row r="29" ht="32" customHeight="1">
      <x:c r="A29" s="2" t="str">
        <x:v>260335-31</x:v>
      </x:c>
      <x:c r="B29" s="2" t="str">
        <x:v>H010</x:v>
      </x:c>
      <x:c r="C29" s="8" t="n">
        <x:v>366.85</x:v>
      </x:c>
      <x:c r="D29" s="2" t="str">
        <x:v>M010-366.85</x:v>
      </x:c>
      <x:c r="E29" s="9" t="n">
        <x:v>3</x:v>
      </x:c>
      <x:c r="F29" s="9" t="n">
        <x:v>6.0978194125703</x:v>
      </x:c>
      <x:c r="G29" s="9"/>
      <x:c r="H29" s="13" t="n">
        <x:v>2</x:v>
      </x:c>
      <x:c r="I29" s="13" t="n">
        <x:v>3</x:v>
      </x:c>
      <x:c r="J29" s="13"/>
      <x:c r="K29" s="12"/>
      <x:c r="L29" s="9" t="n">
        <x:v>8.33333333333333</x:v>
      </x:c>
      <x:c r="M29" s="9" t="n">
        <x:v>14.0905833118901</x:v>
      </x:c>
      <x:c r="N29" s="9"/>
      <x:c r="O29" s="12"/>
      <x:c r="P29" s="3" t="b">
        <x:v>0</x:v>
      </x:c>
      <x:c r="Q29" s="3" t="b">
        <x:v>0</x:v>
      </x:c>
      <x:c r="R29" s="2" t="str">
        <x:v>reference_unavailable</x:v>
      </x:c>
      <x:c r="S29" s="11" t="str">
        <x:v>Client reference flow values missing</x:v>
      </x:c>
    </x:row>
    <x:row r="30" ht="32" customHeight="1">
      <x:c r="A30" s="2" t="str">
        <x:v>260335-32</x:v>
      </x:c>
      <x:c r="B30" s="2" t="str">
        <x:v>H010</x:v>
      </x:c>
      <x:c r="C30" s="8" t="n">
        <x:v>165.45</x:v>
      </x:c>
      <x:c r="D30" s="2" t="str">
        <x:v>M010-165.45</x:v>
      </x:c>
      <x:c r="E30" s="9" t="n">
        <x:v>2</x:v>
      </x:c>
      <x:c r="F30" s="9" t="n">
        <x:v>7.13439432345402</x:v>
      </x:c>
      <x:c r="G30" s="9"/>
      <x:c r="H30" s="13" t="n">
        <x:v>2</x:v>
      </x:c>
      <x:c r="I30" s="13" t="n">
        <x:v>3</x:v>
      </x:c>
      <x:c r="J30" s="13"/>
      <x:c r="K30" s="12"/>
      <x:c r="L30" s="9" t="n">
        <x:v>12.3333333333333</x:v>
      </x:c>
      <x:c r="M30" s="9" t="n">
        <x:v>10.5211883603386</x:v>
      </x:c>
      <x:c r="N30" s="9"/>
      <x:c r="O30" s="12"/>
      <x:c r="P30" s="3" t="b">
        <x:v>0</x:v>
      </x:c>
      <x:c r="Q30" s="3" t="b">
        <x:v>0</x:v>
      </x:c>
      <x:c r="R30" s="2" t="str">
        <x:v>reference_unavailable</x:v>
      </x:c>
      <x:c r="S30" s="11" t="str">
        <x:v>Client reference flow values missing</x:v>
      </x:c>
    </x:row>
    <x:row r="31" ht="32" customHeight="1">
      <x:c r="A31" s="2" t="str">
        <x:v>260335-33</x:v>
      </x:c>
      <x:c r="B31" s="2" t="str">
        <x:v>H001</x:v>
      </x:c>
      <x:c r="C31" s="8" t="n">
        <x:v>402.89</x:v>
      </x:c>
      <x:c r="D31" s="2" t="str">
        <x:v>H001-402.89</x:v>
      </x:c>
      <x:c r="E31" s="9" t="n">
        <x:v>107.333333333333</x:v>
      </x:c>
      <x:c r="F31" s="9" t="n">
        <x:v>6.18367424131222</x:v>
      </x:c>
      <x:c r="G31" s="9" t="n">
        <x:v>7</x:v>
      </x:c>
      <x:c r="H31" s="13" t="n">
        <x:v>6</x:v>
      </x:c>
      <x:c r="I31" s="13" t="n">
        <x:v>3</x:v>
      </x:c>
      <x:c r="J31" s="13"/>
      <x:c r="K31" s="12" t="str">
        <x:v>2.67–11.67</x:v>
      </x:c>
      <x:c r="L31" s="9" t="n">
        <x:v>137.333333333333</x:v>
      </x:c>
      <x:c r="M31" s="9" t="n">
        <x:v>11.5887579024493</x:v>
      </x:c>
      <x:c r="N31" s="9" t="n">
        <x:v>11</x:v>
      </x:c>
      <x:c r="O31" s="12" t="str">
        <x:v>4.33–18.33</x:v>
      </x:c>
      <x:c r="P31" s="3" t="b">
        <x:v>1</x:v>
      </x:c>
      <x:c r="Q31" s="3" t="b">
        <x:v>1</x:v>
      </x:c>
      <x:c r="R31" s="2" t="str">
        <x:v>compared_both</x:v>
      </x:c>
      <x:c r="S31" s="11" t="str">
        <x:v>Mixed crossing categories: 2, 3; Client mean spans multiple carriageways</x:v>
      </x:c>
    </x:row>
    <x:row r="32" ht="32" customHeight="1">
      <x:c r="A32" s="2" t="str">
        <x:v>260335-34</x:v>
      </x:c>
      <x:c r="B32" s="2" t="str">
        <x:v>M031</x:v>
      </x:c>
      <x:c r="C32" s="8" t="n">
        <x:v>270.1</x:v>
      </x:c>
      <x:c r="D32" s="2" t="str">
        <x:v>M031-270.1</x:v>
      </x:c>
      <x:c r="E32" s="9" t="n">
        <x:v>1.66666666666667</x:v>
      </x:c>
      <x:c r="F32" s="9" t="n">
        <x:v>3.43243059482097</x:v>
      </x:c>
      <x:c r="G32" s="9" t="n">
        <x:v>3</x:v>
      </x:c>
      <x:c r="H32" s="13" t="n">
        <x:v>2</x:v>
      </x:c>
      <x:c r="I32" s="13" t="n">
        <x:v>2</x:v>
      </x:c>
      <x:c r="J32" s="13" t="n">
        <x:v>2</x:v>
      </x:c>
      <x:c r="K32" s="12" t="str">
        <x:v>1–5</x:v>
      </x:c>
      <x:c r="L32" s="9" t="n">
        <x:v>3.66666666666667</x:v>
      </x:c>
      <x:c r="M32" s="9" t="n">
        <x:v>6.93652443789444</x:v>
      </x:c>
      <x:c r="N32" s="9" t="n">
        <x:v>30</x:v>
      </x:c>
      <x:c r="O32" s="12" t="str">
        <x:v>12–50</x:v>
      </x:c>
      <x:c r="P32" s="3" t="b">
        <x:v>1</x:v>
      </x:c>
      <x:c r="Q32" s="3" t="b">
        <x:v>1</x:v>
      </x:c>
      <x:c r="R32" s="2" t="str">
        <x:v>compared_both</x:v>
      </x:c>
      <x:c r="S32" s="11" t="str"/>
    </x:row>
    <x:row r="33" ht="32" customHeight="1">
      <x:c r="A33" s="2" t="str">
        <x:v>260335-35</x:v>
      </x:c>
      <x:c r="B33" s="2" t="str">
        <x:v>H009</x:v>
      </x:c>
      <x:c r="C33" s="8" t="n">
        <x:v>463.98</x:v>
      </x:c>
      <x:c r="D33" s="2" t="str">
        <x:v>H009-463.98</x:v>
      </x:c>
      <x:c r="E33" s="9" t="n">
        <x:v>128.666666666667</x:v>
      </x:c>
      <x:c r="F33" s="9" t="n">
        <x:v>48.7894130963157</x:v>
      </x:c>
      <x:c r="G33" s="9" t="n">
        <x:v>30.3333333333333</x:v>
      </x:c>
      <x:c r="H33" s="13" t="n">
        <x:v>6</x:v>
      </x:c>
      <x:c r="I33" s="13" t="n">
        <x:v>4</x:v>
      </x:c>
      <x:c r="J33" s="13"/>
      <x:c r="K33" s="12" t="str">
        <x:v>19.33–41.67</x:v>
      </x:c>
      <x:c r="L33" s="9" t="n">
        <x:v>126.333333333333</x:v>
      </x:c>
      <x:c r="M33" s="9" t="n">
        <x:v>97.0844411576612</x:v>
      </x:c>
      <x:c r="N33" s="9" t="n">
        <x:v>150</x:v>
      </x:c>
      <x:c r="O33" s="12" t="str">
        <x:v>102–200</x:v>
      </x:c>
      <x:c r="P33" s="3" t="b">
        <x:v>1</x:v>
      </x:c>
      <x:c r="Q33" s="3" t="b">
        <x:v>1</x:v>
      </x:c>
      <x:c r="R33" s="2" t="str">
        <x:v>compared_both</x:v>
      </x:c>
      <x:c r="S33" s="11" t="str">
        <x:v>Mixed crossing categories: 3, 4</x:v>
      </x:c>
    </x:row>
    <x:row r="34" ht="32" customHeight="1">
      <x:c r="A34" s="2" t="str">
        <x:v>260335-36</x:v>
      </x:c>
      <x:c r="B34" s="2" t="str">
        <x:v>H001</x:v>
      </x:c>
      <x:c r="C34" s="8" t="n">
        <x:v>356.36</x:v>
      </x:c>
      <x:c r="D34" s="2" t="str">
        <x:v>H001-356.36</x:v>
      </x:c>
      <x:c r="E34" s="9" t="n">
        <x:v>18.6666666666667</x:v>
      </x:c>
      <x:c r="F34" s="9" t="n">
        <x:v>7.68675409190811</x:v>
      </x:c>
      <x:c r="G34" s="9" t="n">
        <x:v>3</x:v>
      </x:c>
      <x:c r="H34" s="13" t="n">
        <x:v>3</x:v>
      </x:c>
      <x:c r="I34" s="13" t="n">
        <x:v>3</x:v>
      </x:c>
      <x:c r="J34" s="13" t="n">
        <x:v>2</x:v>
      </x:c>
      <x:c r="K34" s="12" t="str">
        <x:v>1–5</x:v>
      </x:c>
      <x:c r="L34" s="9" t="n">
        <x:v>37.3333333333333</x:v>
      </x:c>
      <x:c r="M34" s="9" t="n">
        <x:v>16.4927830171191</x:v>
      </x:c>
      <x:c r="N34" s="9" t="n">
        <x:v>18</x:v>
      </x:c>
      <x:c r="O34" s="12" t="str">
        <x:v>7–30</x:v>
      </x:c>
      <x:c r="P34" s="3" t="b">
        <x:v>1</x:v>
      </x:c>
      <x:c r="Q34" s="3" t="b">
        <x:v>1</x:v>
      </x:c>
      <x:c r="R34" s="2" t="str">
        <x:v>compared_both</x:v>
      </x:c>
      <x:c r="S34" s="11" t="str"/>
    </x:row>
    <x:row r="35" ht="32" customHeight="1">
      <x:c r="A35" s="2" t="str">
        <x:v>260335-37</x:v>
      </x:c>
      <x:c r="B35" s="2" t="str">
        <x:v>H008</x:v>
      </x:c>
      <x:c r="C35" s="8" t="n">
        <x:v>0.6</x:v>
      </x:c>
      <x:c r="D35" s="2" t="str">
        <x:v>H008-0.6</x:v>
      </x:c>
      <x:c r="E35" s="9" t="n">
        <x:v>10</x:v>
      </x:c>
      <x:c r="F35" s="9" t="n">
        <x:v>7.15050673300123</x:v>
      </x:c>
      <x:c r="G35" s="9" t="n">
        <x:v>20.75</x:v>
      </x:c>
      <x:c r="H35" s="13" t="n">
        <x:v>3</x:v>
      </x:c>
      <x:c r="I35" s="13" t="n">
        <x:v>3</x:v>
      </x:c>
      <x:c r="J35" s="13"/>
      <x:c r="K35" s="12" t="str">
        <x:v>11–31.25</x:v>
      </x:c>
      <x:c r="L35" s="9" t="n">
        <x:v>24</x:v>
      </x:c>
      <x:c r="M35" s="9" t="n">
        <x:v>12.2059027990662</x:v>
      </x:c>
      <x:c r="N35" s="9" t="n">
        <x:v>114</x:v>
      </x:c>
      <x:c r="O35" s="12" t="str">
        <x:v>77–152.5</x:v>
      </x:c>
      <x:c r="P35" s="3" t="b">
        <x:v>1</x:v>
      </x:c>
      <x:c r="Q35" s="3" t="b">
        <x:v>1</x:v>
      </x:c>
      <x:c r="R35" s="2" t="str">
        <x:v>compared_both</x:v>
      </x:c>
      <x:c r="S35" s="11" t="str">
        <x:v>Mixed crossing categories: 3, 4</x:v>
      </x:c>
    </x:row>
    <x:row r="36" ht="56" customHeight="1">
      <x:c r="A36" s="2" t="str">
        <x:v>260335-38</x:v>
      </x:c>
      <x:c r="B36" s="2" t="str">
        <x:v>H044</x:v>
      </x:c>
      <x:c r="C36" s="8" t="n">
        <x:v>5.04</x:v>
      </x:c>
      <x:c r="D36" s="2" t="str">
        <x:v>H044-5.04</x:v>
      </x:c>
      <x:c r="E36" s="9" t="n">
        <x:v>4.33333333333333</x:v>
      </x:c>
      <x:c r="F36" s="9" t="n">
        <x:v>23.8884798125594</x:v>
      </x:c>
      <x:c r="G36" s="9" t="n">
        <x:v>26.5</x:v>
      </x:c>
      <x:c r="H36" s="13" t="n">
        <x:v>2</x:v>
      </x:c>
      <x:c r="I36" s="13" t="n">
        <x:v>3</x:v>
      </x:c>
      <x:c r="J36" s="13"/>
      <x:c r="K36" s="12" t="str">
        <x:v>16–37.5</x:v>
      </x:c>
      <x:c r="L36" s="9" t="n">
        <x:v>18.3333333333333</x:v>
      </x:c>
      <x:c r="M36" s="9" t="n">
        <x:v>43.300615878148</x:v>
      </x:c>
      <x:c r="N36" s="9" t="n">
        <x:v>21</x:v>
      </x:c>
      <x:c r="O36" s="12" t="str">
        <x:v>13.5–28.75</x:v>
      </x:c>
      <x:c r="P36" s="3" t="b">
        <x:v>1</x:v>
      </x:c>
      <x:c r="Q36" s="3" t="b">
        <x:v>0</x:v>
      </x:c>
      <x:c r="R36" s="2" t="str">
        <x:v>compared_cross_only</x:v>
      </x:c>
      <x:c r="S36" s="11" t="str">
        <x:v>Excluded from along-road metrics: along_coverage_west_only; Mixed crossing categories: 3, 4; Client mean spans multiple carriageways</x:v>
      </x:c>
    </x:row>
    <x:row r="37" ht="32" customHeight="1">
      <x:c r="A37" s="2" t="str">
        <x:v>260335-39</x:v>
      </x:c>
      <x:c r="B37" s="2" t="str">
        <x:v>H004</x:v>
      </x:c>
      <x:c r="C37" s="8" t="n">
        <x:v>366.31</x:v>
      </x:c>
      <x:c r="D37" s="2" t="str">
        <x:v>H004-366.31</x:v>
      </x:c>
      <x:c r="E37" s="9" t="n">
        <x:v>3</x:v>
      </x:c>
      <x:c r="F37" s="9" t="n">
        <x:v>6.75834584835355</x:v>
      </x:c>
      <x:c r="G37" s="9" t="n">
        <x:v>3</x:v>
      </x:c>
      <x:c r="H37" s="13" t="n">
        <x:v>2</x:v>
      </x:c>
      <x:c r="I37" s="13" t="n">
        <x:v>3</x:v>
      </x:c>
      <x:c r="J37" s="13" t="n">
        <x:v>2</x:v>
      </x:c>
      <x:c r="K37" s="12" t="str">
        <x:v>1–5</x:v>
      </x:c>
      <x:c r="L37" s="9" t="n">
        <x:v>14.3333333333333</x:v>
      </x:c>
      <x:c r="M37" s="9" t="n">
        <x:v>13.2027163119535</x:v>
      </x:c>
      <x:c r="N37" s="9" t="n">
        <x:v>11</x:v>
      </x:c>
      <x:c r="O37" s="12" t="str">
        <x:v>4.33–18.33</x:v>
      </x:c>
      <x:c r="P37" s="3" t="b">
        <x:v>1</x:v>
      </x:c>
      <x:c r="Q37" s="3" t="b">
        <x:v>1</x:v>
      </x:c>
      <x:c r="R37" s="2" t="str">
        <x:v>compared_both</x:v>
      </x:c>
      <x:c r="S37" s="11" t="str">
        <x:v>Client mean spans multiple carriageways</x:v>
      </x:c>
    </x:row>
    <x:row r="38" ht="32" customHeight="1">
      <x:c r="A38" s="2" t="str">
        <x:v>260335-40</x:v>
      </x:c>
      <x:c r="B38" s="2" t="str">
        <x:v>H007</x:v>
      </x:c>
      <x:c r="C38" s="8" t="n">
        <x:v>52.5</x:v>
      </x:c>
      <x:c r="D38" s="2"/>
      <x:c r="E38" s="9" t="n">
        <x:v>53.6666666666667</x:v>
      </x:c>
      <x:c r="F38" s="9" t="n">
        <x:v>19.4139179292762</x:v>
      </x:c>
      <x:c r="G38" s="9"/>
      <x:c r="H38" s="13" t="n">
        <x:v>5</x:v>
      </x:c>
      <x:c r="I38" s="13" t="n">
        <x:v>3</x:v>
      </x:c>
      <x:c r="J38" s="13"/>
      <x:c r="K38" s="12"/>
      <x:c r="L38" s="9" t="n">
        <x:v>66.3333333333333</x:v>
      </x:c>
      <x:c r="M38" s="9" t="n">
        <x:v>32.80826540818</x:v>
      </x:c>
      <x:c r="N38" s="9"/>
      <x:c r="O38" s="12"/>
      <x:c r="P38" s="3" t="b">
        <x:v>0</x:v>
      </x:c>
      <x:c r="Q38" s="3" t="b">
        <x:v>0</x:v>
      </x:c>
      <x:c r="R38" s="2" t="str">
        <x:v>reference_unavailable</x:v>
      </x:c>
      <x:c r="S38" s="11" t="str">
        <x:v>Client reference row absent</x:v>
      </x:c>
    </x:row>
    <x:row r="39" ht="32" customHeight="1">
      <x:c r="A39" s="2" t="str">
        <x:v>260335-41</x:v>
      </x:c>
      <x:c r="B39" s="2" t="str">
        <x:v>M045</x:v>
      </x:c>
      <x:c r="C39" s="8" t="n">
        <x:v>168.38</x:v>
      </x:c>
      <x:c r="D39" s="2" t="str">
        <x:v>M045-168.38</x:v>
      </x:c>
      <x:c r="E39" s="9" t="n">
        <x:v>7.33333333333333</x:v>
      </x:c>
      <x:c r="F39" s="9" t="n">
        <x:v>9.77133095840446</x:v>
      </x:c>
      <x:c r="G39" s="9" t="n">
        <x:v>11</x:v>
      </x:c>
      <x:c r="H39" s="13" t="n">
        <x:v>3</x:v>
      </x:c>
      <x:c r="I39" s="13" t="n">
        <x:v>3</x:v>
      </x:c>
      <x:c r="J39" s="13"/>
      <x:c r="K39" s="12" t="str">
        <x:v>4.33–18.33</x:v>
      </x:c>
      <x:c r="L39" s="9" t="n">
        <x:v>14.3333333333333</x:v>
      </x:c>
      <x:c r="M39" s="9" t="n">
        <x:v>15.4039406574882</x:v>
      </x:c>
      <x:c r="N39" s="9" t="n">
        <x:v>110</x:v>
      </x:c>
      <x:c r="O39" s="12" t="str">
        <x:v>72–150</x:v>
      </x:c>
      <x:c r="P39" s="3" t="b">
        <x:v>1</x:v>
      </x:c>
      <x:c r="Q39" s="3" t="b">
        <x:v>1</x:v>
      </x:c>
      <x:c r="R39" s="2" t="str">
        <x:v>compared_both</x:v>
      </x:c>
      <x:c r="S39" s="11" t="str">
        <x:v>Mixed crossing categories: 2, 3</x:v>
      </x:c>
    </x:row>
    <x:row r="40" ht="32" customHeight="1">
      <x:c r="A40" s="2" t="str">
        <x:v>260335-42</x:v>
      </x:c>
      <x:c r="B40" s="2" t="str">
        <x:v>M032</x:v>
      </x:c>
      <x:c r="C40" s="8" t="n">
        <x:v>0.55</x:v>
      </x:c>
      <x:c r="D40" s="2" t="str">
        <x:v>M032-0.55</x:v>
      </x:c>
      <x:c r="E40" s="9" t="n">
        <x:v>3.33333333333333</x:v>
      </x:c>
      <x:c r="F40" s="9" t="n">
        <x:v>4.90613253917071</x:v>
      </x:c>
      <x:c r="G40" s="9" t="n">
        <x:v>3</x:v>
      </x:c>
      <x:c r="H40" s="13" t="n">
        <x:v>2</x:v>
      </x:c>
      <x:c r="I40" s="13" t="n">
        <x:v>2</x:v>
      </x:c>
      <x:c r="J40" s="13" t="n">
        <x:v>2</x:v>
      </x:c>
      <x:c r="K40" s="12" t="str">
        <x:v>1–5</x:v>
      </x:c>
      <x:c r="L40" s="9" t="n">
        <x:v>12</x:v>
      </x:c>
      <x:c r="M40" s="9" t="n">
        <x:v>9.57422478714234</x:v>
      </x:c>
      <x:c r="N40" s="9" t="n">
        <x:v>26</x:v>
      </x:c>
      <x:c r="O40" s="12" t="str">
        <x:v>10.33–43.33</x:v>
      </x:c>
      <x:c r="P40" s="3" t="b">
        <x:v>1</x:v>
      </x:c>
      <x:c r="Q40" s="3" t="b">
        <x:v>1</x:v>
      </x:c>
      <x:c r="R40" s="2" t="str">
        <x:v>compared_both</x:v>
      </x:c>
      <x:c r="S40" s="11" t="str"/>
    </x:row>
    <x:row r="41" ht="32" customHeight="1">
      <x:c r="A41" s="2" t="str">
        <x:v>260335-43</x:v>
      </x:c>
      <x:c r="B41" s="2" t="str">
        <x:v>H053</x:v>
      </x:c>
      <x:c r="C41" s="8" t="n">
        <x:v>30.57</x:v>
      </x:c>
      <x:c r="D41" s="2" t="str">
        <x:v>H053-30.57</x:v>
      </x:c>
      <x:c r="E41" s="9" t="n">
        <x:v>32</x:v>
      </x:c>
      <x:c r="F41" s="9" t="n">
        <x:v>28.5408023629786</x:v>
      </x:c>
      <x:c r="G41" s="9" t="n">
        <x:v>22.6666666666667</x:v>
      </x:c>
      <x:c r="H41" s="13" t="n">
        <x:v>4</x:v>
      </x:c>
      <x:c r="I41" s="13" t="n">
        <x:v>4</x:v>
      </x:c>
      <x:c r="J41" s="13"/>
      <x:c r="K41" s="12" t="str">
        <x:v>12.67–33.33</x:v>
      </x:c>
      <x:c r="L41" s="9" t="n">
        <x:v>36</x:v>
      </x:c>
      <x:c r="M41" s="9" t="n">
        <x:v>52.9386676042684</x:v>
      </x:c>
      <x:c r="N41" s="9" t="n">
        <x:v>126</x:v>
      </x:c>
      <x:c r="O41" s="12" t="str">
        <x:v>85.33–168.33</x:v>
      </x:c>
      <x:c r="P41" s="3" t="b">
        <x:v>1</x:v>
      </x:c>
      <x:c r="Q41" s="3" t="b">
        <x:v>1</x:v>
      </x:c>
      <x:c r="R41" s="2" t="str">
        <x:v>compared_both</x:v>
      </x:c>
      <x:c r="S41" s="11" t="str">
        <x:v>Mixed crossing categories: 3, 4</x:v>
      </x:c>
    </x:row>
    <x:row r="42" ht="32" customHeight="1">
      <x:c r="A42" s="2" t="str">
        <x:v>260335-44</x:v>
      </x:c>
      <x:c r="B42" s="2" t="str">
        <x:v>M031</x:v>
      </x:c>
      <x:c r="C42" s="8" t="n">
        <x:v>34.78</x:v>
      </x:c>
      <x:c r="D42" s="2" t="str">
        <x:v>M031-34.78</x:v>
      </x:c>
      <x:c r="E42" s="9" t="n">
        <x:v>1</x:v>
      </x:c>
      <x:c r="F42" s="9" t="n">
        <x:v>3.43243059482097</x:v>
      </x:c>
      <x:c r="G42" s="9" t="n">
        <x:v>3</x:v>
      </x:c>
      <x:c r="H42" s="13" t="n">
        <x:v>2</x:v>
      </x:c>
      <x:c r="I42" s="13" t="n">
        <x:v>2</x:v>
      </x:c>
      <x:c r="J42" s="13" t="n">
        <x:v>2</x:v>
      </x:c>
      <x:c r="K42" s="12" t="str">
        <x:v>1–5</x:v>
      </x:c>
      <x:c r="L42" s="9" t="n">
        <x:v>3</x:v>
      </x:c>
      <x:c r="M42" s="9" t="n">
        <x:v>6.93652443789444</x:v>
      </x:c>
      <x:c r="N42" s="9" t="n">
        <x:v>30</x:v>
      </x:c>
      <x:c r="O42" s="12" t="str">
        <x:v>12–50</x:v>
      </x:c>
      <x:c r="P42" s="3" t="b">
        <x:v>1</x:v>
      </x:c>
      <x:c r="Q42" s="3" t="b">
        <x:v>1</x:v>
      </x:c>
      <x:c r="R42" s="2" t="str">
        <x:v>compared_both</x:v>
      </x:c>
      <x:c r="S42" s="11" t="str"/>
    </x:row>
    <x:row r="43" ht="32" customHeight="1">
      <x:c r="A43" s="2" t="str">
        <x:v>260335-45</x:v>
      </x:c>
      <x:c r="B43" s="2" t="str">
        <x:v>H005</x:v>
      </x:c>
      <x:c r="C43" s="8" t="n">
        <x:v>257.49</x:v>
      </x:c>
      <x:c r="D43" s="2" t="str">
        <x:v>H005-257.49</x:v>
      </x:c>
      <x:c r="E43" s="9" t="n">
        <x:v>11.3333333333333</x:v>
      </x:c>
      <x:c r="F43" s="9" t="n">
        <x:v>4.90613253917071</x:v>
      </x:c>
      <x:c r="G43" s="9" t="n">
        <x:v>15</x:v>
      </x:c>
      <x:c r="H43" s="13" t="n">
        <x:v>3</x:v>
      </x:c>
      <x:c r="I43" s="13" t="n">
        <x:v>2</x:v>
      </x:c>
      <x:c r="J43" s="13" t="n">
        <x:v>3</x:v>
      </x:c>
      <x:c r="K43" s="12" t="str">
        <x:v>6–25</x:v>
      </x:c>
      <x:c r="L43" s="9" t="n">
        <x:v>4.66666666666667</x:v>
      </x:c>
      <x:c r="M43" s="9" t="n">
        <x:v>9.57422478714234</x:v>
      </x:c>
      <x:c r="N43" s="9" t="n">
        <x:v>76</x:v>
      </x:c>
      <x:c r="O43" s="12" t="str">
        <x:v>52–100</x:v>
      </x:c>
      <x:c r="P43" s="3" t="b">
        <x:v>1</x:v>
      </x:c>
      <x:c r="Q43" s="3" t="b">
        <x:v>1</x:v>
      </x:c>
      <x:c r="R43" s="2" t="str">
        <x:v>compared_both</x:v>
      </x:c>
      <x:c r="S43" s="11" t="str"/>
    </x:row>
    <x:row r="44" ht="32" customHeight="1">
      <x:c r="A44" s="2" t="str">
        <x:v>260335-46</x:v>
      </x:c>
      <x:c r="B44" s="2" t="str">
        <x:v>M002</x:v>
      </x:c>
      <x:c r="C44" s="8" t="n">
        <x:v>86.13</x:v>
      </x:c>
      <x:c r="D44" s="2" t="str">
        <x:v>M002-86.13</x:v>
      </x:c>
      <x:c r="E44" s="9" t="n">
        <x:v>1.66666666666667</x:v>
      </x:c>
      <x:c r="F44" s="9" t="n">
        <x:v>7.15050673300123</x:v>
      </x:c>
      <x:c r="G44" s="9" t="n">
        <x:v>7</x:v>
      </x:c>
      <x:c r="H44" s="13" t="n">
        <x:v>2</x:v>
      </x:c>
      <x:c r="I44" s="13" t="n">
        <x:v>3</x:v>
      </x:c>
      <x:c r="J44" s="13"/>
      <x:c r="K44" s="12" t="str">
        <x:v>2.67–11.67</x:v>
      </x:c>
      <x:c r="L44" s="9" t="n">
        <x:v>9.66666666666667</x:v>
      </x:c>
      <x:c r="M44" s="9" t="n">
        <x:v>12.2059027990662</x:v>
      </x:c>
      <x:c r="N44" s="9" t="n">
        <x:v>22</x:v>
      </x:c>
      <x:c r="O44" s="12" t="str">
        <x:v>8.67–36.67</x:v>
      </x:c>
      <x:c r="P44" s="3" t="b">
        <x:v>1</x:v>
      </x:c>
      <x:c r="Q44" s="3" t="b">
        <x:v>1</x:v>
      </x:c>
      <x:c r="R44" s="2" t="str">
        <x:v>compared_both</x:v>
      </x:c>
      <x:c r="S44" s="11" t="str">
        <x:v>Mixed crossing categories: 2, 3</x:v>
      </x:c>
    </x:row>
    <x:row r="45" ht="32" customHeight="1">
      <x:c r="A45" s="2" t="str">
        <x:v>260335-47</x:v>
      </x:c>
      <x:c r="B45" s="2" t="str">
        <x:v>M031</x:v>
      </x:c>
      <x:c r="C45" s="8" t="n">
        <x:v>216.22</x:v>
      </x:c>
      <x:c r="D45" s="2" t="str">
        <x:v>M031-216.22</x:v>
      </x:c>
      <x:c r="E45" s="9" t="n">
        <x:v>7.33333333333333</x:v>
      </x:c>
      <x:c r="F45" s="9" t="n">
        <x:v>40.1299743930667</x:v>
      </x:c>
      <x:c r="G45" s="9" t="n">
        <x:v>10</x:v>
      </x:c>
      <x:c r="H45" s="13" t="n">
        <x:v>3</x:v>
      </x:c>
      <x:c r="I45" s="13" t="n">
        <x:v>4</x:v>
      </x:c>
      <x:c r="J45" s="13"/>
      <x:c r="K45" s="12" t="str">
        <x:v>4–16.67</x:v>
      </x:c>
      <x:c r="L45" s="9" t="n">
        <x:v>11.6666666666667</x:v>
      </x:c>
      <x:c r="M45" s="9" t="n">
        <x:v>60.108393203724</x:v>
      </x:c>
      <x:c r="N45" s="9" t="n">
        <x:v>76</x:v>
      </x:c>
      <x:c r="O45" s="12" t="str">
        <x:v>51.33–101.67</x:v>
      </x:c>
      <x:c r="P45" s="3" t="b">
        <x:v>1</x:v>
      </x:c>
      <x:c r="Q45" s="3" t="b">
        <x:v>1</x:v>
      </x:c>
      <x:c r="R45" s="2" t="str">
        <x:v>compared_both</x:v>
      </x:c>
      <x:c r="S45" s="11" t="str">
        <x:v>Mixed crossing categories: 1, 3</x:v>
      </x:c>
    </x:row>
    <x:row r="46" ht="32" customHeight="1">
      <x:c r="A46" s="2" t="str">
        <x:v>260335-48</x:v>
      </x:c>
      <x:c r="B46" s="2" t="str">
        <x:v>M026</x:v>
      </x:c>
      <x:c r="C46" s="8" t="n">
        <x:v>40.44</x:v>
      </x:c>
      <x:c r="D46" s="2" t="str">
        <x:v>M026-40.44</x:v>
      </x:c>
      <x:c r="E46" s="9" t="n">
        <x:v>5.66666666666667</x:v>
      </x:c>
      <x:c r="F46" s="9" t="n">
        <x:v>4.54685915468433</x:v>
      </x:c>
      <x:c r="G46" s="9" t="n">
        <x:v>3</x:v>
      </x:c>
      <x:c r="H46" s="13" t="n">
        <x:v>3</x:v>
      </x:c>
      <x:c r="I46" s="13" t="n">
        <x:v>2</x:v>
      </x:c>
      <x:c r="J46" s="13" t="n">
        <x:v>2</x:v>
      </x:c>
      <x:c r="K46" s="12" t="str">
        <x:v>1–5</x:v>
      </x:c>
      <x:c r="L46" s="9" t="n">
        <x:v>6.33333333333333</x:v>
      </x:c>
      <x:c r="M46" s="9" t="n">
        <x:v>9.328562335735</x:v>
      </x:c>
      <x:c r="N46" s="9" t="n">
        <x:v>24</x:v>
      </x:c>
      <x:c r="O46" s="12" t="str">
        <x:v>9.5–40</x:v>
      </x:c>
      <x:c r="P46" s="3" t="b">
        <x:v>1</x:v>
      </x:c>
      <x:c r="Q46" s="3" t="b">
        <x:v>1</x:v>
      </x:c>
      <x:c r="R46" s="2" t="str">
        <x:v>compared_both</x:v>
      </x:c>
      <x:c r="S46" s="11" t="str"/>
    </x:row>
    <x:row r="47" ht="32" customHeight="1">
      <x:c r="A47" s="2" t="str">
        <x:v>260335-49</x:v>
      </x:c>
      <x:c r="B47" s="2" t="str">
        <x:v>M031</x:v>
      </x:c>
      <x:c r="C47" s="8" t="n">
        <x:v>66.8</x:v>
      </x:c>
      <x:c r="D47" s="2" t="str">
        <x:v>M031-66.8</x:v>
      </x:c>
      <x:c r="E47" s="9" t="n">
        <x:v>5.66666666666667</x:v>
      </x:c>
      <x:c r="F47" s="9" t="n">
        <x:v>7.68675409190811</x:v>
      </x:c>
      <x:c r="G47" s="9" t="n">
        <x:v>15</x:v>
      </x:c>
      <x:c r="H47" s="13" t="n">
        <x:v>3</x:v>
      </x:c>
      <x:c r="I47" s="13" t="n">
        <x:v>3</x:v>
      </x:c>
      <x:c r="J47" s="13" t="n">
        <x:v>3</x:v>
      </x:c>
      <x:c r="K47" s="12" t="str">
        <x:v>6–25</x:v>
      </x:c>
      <x:c r="L47" s="9" t="n">
        <x:v>7.33333333333333</x:v>
      </x:c>
      <x:c r="M47" s="9" t="n">
        <x:v>16.4927830171191</x:v>
      </x:c>
      <x:c r="N47" s="9" t="n">
        <x:v>64.3333333333333</x:v>
      </x:c>
      <x:c r="O47" s="12" t="str">
        <x:v>43.67–85</x:v>
      </x:c>
      <x:c r="P47" s="3" t="b">
        <x:v>1</x:v>
      </x:c>
      <x:c r="Q47" s="3" t="b">
        <x:v>1</x:v>
      </x:c>
      <x:c r="R47" s="2" t="str">
        <x:v>compared_both</x:v>
      </x:c>
      <x:c r="S47" s="11" t="str"/>
    </x:row>
    <x:row r="48" ht="32" customHeight="1">
      <x:c r="A48" s="2" t="str">
        <x:v>260335-50</x:v>
      </x:c>
      <x:c r="B48" s="2" t="str">
        <x:v>H006</x:v>
      </x:c>
      <x:c r="C48" s="8" t="n">
        <x:v>233.1</x:v>
      </x:c>
      <x:c r="D48" s="2" t="str">
        <x:v>H006-233.1</x:v>
      </x:c>
      <x:c r="E48" s="9" t="n">
        <x:v>4.66666666666667</x:v>
      </x:c>
      <x:c r="F48" s="9" t="n">
        <x:v>3.12415235779679</x:v>
      </x:c>
      <x:c r="G48" s="9" t="n">
        <x:v>3</x:v>
      </x:c>
      <x:c r="H48" s="13" t="n">
        <x:v>2</x:v>
      </x:c>
      <x:c r="I48" s="13" t="n">
        <x:v>2</x:v>
      </x:c>
      <x:c r="J48" s="13" t="n">
        <x:v>2</x:v>
      </x:c>
      <x:c r="K48" s="12" t="str">
        <x:v>1–5</x:v>
      </x:c>
      <x:c r="L48" s="9" t="n">
        <x:v>4.33333333333333</x:v>
      </x:c>
      <x:c r="M48" s="9" t="n">
        <x:v>7.20994785361989</x:v>
      </x:c>
      <x:c r="N48" s="9" t="n">
        <x:v>30</x:v>
      </x:c>
      <x:c r="O48" s="12" t="str">
        <x:v>12–50</x:v>
      </x:c>
      <x:c r="P48" s="3" t="b">
        <x:v>1</x:v>
      </x:c>
      <x:c r="Q48" s="3" t="b">
        <x:v>1</x:v>
      </x:c>
      <x:c r="R48" s="2" t="str">
        <x:v>compared_both</x:v>
      </x:c>
      <x:c r="S48" s="11" t="str"/>
    </x:row>
    <x:row r="49" ht="32" customHeight="1">
      <x:c r="A49" s="2" t="str">
        <x:v>260335-51</x:v>
      </x:c>
      <x:c r="B49" s="2" t="str">
        <x:v>M028</x:v>
      </x:c>
      <x:c r="C49" s="8" t="n">
        <x:v>22.51</x:v>
      </x:c>
      <x:c r="D49" s="2" t="str">
        <x:v>M028-22.51</x:v>
      </x:c>
      <x:c r="E49" s="9" t="n">
        <x:v>16.6666666666667</x:v>
      </x:c>
      <x:c r="F49" s="9" t="n">
        <x:v>6.00403518094301</x:v>
      </x:c>
      <x:c r="G49" s="9" t="n">
        <x:v>15</x:v>
      </x:c>
      <x:c r="H49" s="13" t="n">
        <x:v>3</x:v>
      </x:c>
      <x:c r="I49" s="13" t="n">
        <x:v>3</x:v>
      </x:c>
      <x:c r="J49" s="13" t="n">
        <x:v>3</x:v>
      </x:c>
      <x:c r="K49" s="12" t="str">
        <x:v>6–25</x:v>
      </x:c>
      <x:c r="L49" s="9" t="n">
        <x:v>35.3333333333333</x:v>
      </x:c>
      <x:c r="M49" s="9" t="n">
        <x:v>10.5665450621751</x:v>
      </x:c>
      <x:c r="N49" s="9" t="n">
        <x:v>102</x:v>
      </x:c>
      <x:c r="O49" s="12" t="str">
        <x:v>68.67–136.67</x:v>
      </x:c>
      <x:c r="P49" s="3" t="b">
        <x:v>1</x:v>
      </x:c>
      <x:c r="Q49" s="3" t="b">
        <x:v>1</x:v>
      </x:c>
      <x:c r="R49" s="2" t="str">
        <x:v>compared_both</x:v>
      </x:c>
      <x:c r="S49" s="11" t="str"/>
    </x:row>
    <x:row r="50" ht="32" customHeight="1">
      <x:c r="A50" s="27" t="str">
        <x:v>260335-52</x:v>
      </x:c>
      <x:c r="B50" s="27" t="str">
        <x:v>M041</x:v>
      </x:c>
      <x:c r="C50" s="32" t="n">
        <x:v>193.82</x:v>
      </x:c>
      <x:c r="D50" s="27" t="str">
        <x:v>M041-193.82</x:v>
      </x:c>
      <x:c r="E50" s="31" t="n">
        <x:v>6</x:v>
      </x:c>
      <x:c r="F50" s="31" t="n">
        <x:v>3.61215401171407</x:v>
      </x:c>
      <x:c r="G50" s="31" t="n">
        <x:v>15</x:v>
      </x:c>
      <x:c r="H50" s="33" t="n">
        <x:v>3</x:v>
      </x:c>
      <x:c r="I50" s="33" t="n">
        <x:v>2</x:v>
      </x:c>
      <x:c r="J50" s="33" t="n">
        <x:v>3</x:v>
      </x:c>
      <x:c r="K50" s="34" t="str">
        <x:v>6–25</x:v>
      </x:c>
      <x:c r="L50" s="31" t="n">
        <x:v>4.33333333333333</x:v>
      </x:c>
      <x:c r="M50" s="31" t="n">
        <x:v>6.00867163249303</x:v>
      </x:c>
      <x:c r="N50" s="31" t="n">
        <x:v>75</x:v>
      </x:c>
      <x:c r="O50" s="34" t="str">
        <x:v>51–100</x:v>
      </x:c>
      <x:c r="P50" s="35" t="b">
        <x:v>1</x:v>
      </x:c>
      <x:c r="Q50" s="35" t="b">
        <x:v>1</x:v>
      </x:c>
      <x:c r="R50" s="27" t="str">
        <x:v>compared_both</x:v>
      </x:c>
      <x:c r="S50" s="29" t="str">
        <x:v>Client mean spans multiple carriageways</x:v>
      </x:c>
    </x:row>
  </x:sheetData>
  <x:conditionalFormatting sqref="P2:P50">
    <x:cfRule type="cellIs" dxfId="0" priority="1" operator="equal">
      <x:formula>FALSE</x:formula>
    </x:cfRule>
  </x:conditionalFormatting>
  <x:conditionalFormatting sqref="Q2:Q50"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47ecbde51543f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52" hidden="0" customWidth="1"/>
    <x:col min="14" max="14" width="3" customWidth="1"/>
    <x:col min="15" max="18" width="15" customWidth="1"/>
    <x:col min="19" max="19" width="3" customWidth="1"/>
    <x:col min="20" max="23" width="15" customWidth="1"/>
  </x:cols>
  <x:sheetData>
    <x:row r="1" ht="60" customHeight="1">
      <x:c r="A1" s="22" t="str">
        <x:v>Site ID</x:v>
      </x:c>
      <x:c r="B1" s="22" t="str">
        <x:v>Direction</x:v>
      </x:c>
      <x:c r="C1" s="22" t="str">
        <x:v>Observed flow</x:v>
      </x:c>
      <x:c r="D1" s="22" t="str">
        <x:v>Model (road-grouped OOF)</x:v>
      </x:c>
      <x:c r="E1" s="22" t="str">
        <x:v>Existing iRAP flow estimate (recoded)</x:v>
      </x:c>
      <x:c r="F1" s="22" t="str">
        <x:v>Included (1=yes, 0=no)</x:v>
      </x:c>
      <x:c r="G1" s="22" t="str">
        <x:v>Model error</x:v>
      </x:c>
      <x:c r="H1" s="22" t="str">
        <x:v>Model absolute error</x:v>
      </x:c>
      <x:c r="I1" s="22" t="str">
        <x:v>Model squared error</x:v>
      </x:c>
      <x:c r="J1" s="22" t="str">
        <x:v>Existing estimate error</x:v>
      </x:c>
      <x:c r="K1" s="22" t="str">
        <x:v>Existing estimate absolute error</x:v>
      </x:c>
      <x:c r="L1" s="22" t="str">
        <x:v>Existing estimate squared error</x:v>
      </x:c>
      <x:c r="M1" s="22" t="str">
        <x:v>Exclusion reason</x:v>
      </x:c>
      <x:c r="O1" s="22" t="str">
        <x:v>Observed</x:v>
      </x:c>
      <x:c r="P1" s="22" t="str">
        <x:v>Model (OOF)</x:v>
      </x:c>
      <x:c r="Q1" s="22" t="str">
        <x:v>Existing estimate (recoded)</x:v>
      </x:c>
      <x:c r="R1" s="22" t="str">
        <x:v>1:1 reference</x:v>
      </x:c>
      <x:c r="T1" s="22" t="str">
        <x:v>Observed</x:v>
      </x:c>
      <x:c r="U1" s="22" t="str">
        <x:v>Model (OOF)</x:v>
      </x:c>
      <x:c r="V1" s="22" t="str">
        <x:v>Existing estimate (recoded)</x:v>
      </x:c>
      <x:c r="W1" s="22" t="str">
        <x:v>1:1 reference</x:v>
      </x:c>
    </x:row>
    <x:row r="2" ht="22" customHeight="1">
      <x:c r="A2" s="2" t="str">
        <x:v>250303-01</x:v>
      </x:c>
      <x:c r="B2" s="2" t="str">
        <x:v>Cross-road</x:v>
      </x:c>
      <x:c r="C2" s="9" t="n">
        <x:f>INDEX('Site_Comparison'!$E$2:$E$50,MATCH($A2,'Site_Comparison'!$A$2:$A$50,0))</x:f>
        <x:v>0.333333333333333</x:v>
      </x:c>
      <x:c r="D2" s="9" t="n">
        <x:f>INDEX('Site_Comparison'!$F$2:$F$50,MATCH($A2,'Site_Comparison'!$A$2:$A$50,0))</x:f>
        <x:v>2.98294093446091</x:v>
      </x:c>
      <x:c r="E2" s="9" t="n">
        <x:f>IF(ISBLANK(INDEX('Site_Comparison'!$G$2:$G$50,MATCH($A2,'Site_Comparison'!$A$2:$A$50,0))),"",INDEX('Site_Comparison'!$G$2:$G$50,MATCH($A2,'Site_Comparison'!$A$2:$A$50,0)))</x:f>
        <x:v>0</x:v>
      </x:c>
      <x:c r="F2" s="2" t="n">
        <x:f>IF(INDEX('Site_Comparison'!$P$2:$P$50,MATCH($A2,'Site_Comparison'!$A$2:$A$50,0)),1,0)</x:f>
        <x:v>1</x:v>
      </x:c>
      <x:c r="G2" s="9" t="n">
        <x:f>D2-C2</x:f>
        <x:v>2.649607601127577</x:v>
      </x:c>
      <x:c r="H2" s="9" t="n">
        <x:f>ABS(G2)</x:f>
        <x:v>2.649607601127577</x:v>
      </x:c>
      <x:c r="I2" s="9" t="n">
        <x:f>G2^2</x:f>
        <x:v>7.020420439953034</x:v>
      </x:c>
      <x:c r="J2" s="9" t="n">
        <x:f>IF(ISNUMBER(E2),E2-C2,"")</x:f>
        <x:v>-0.333333333333333</x:v>
      </x:c>
      <x:c r="K2" s="9" t="n">
        <x:f>IF(ISNUMBER(J2),ABS(J2),"")</x:f>
        <x:v>0.333333333333333</x:v>
      </x:c>
      <x:c r="L2" s="9" t="n">
        <x:f>IF(ISNUMBER(J2),J2^2,"")</x:f>
        <x:v>0.11111111111111088</x:v>
      </x:c>
      <x:c r="M2" s="2"/>
      <x:c r="O2" s="9" t="n">
        <x:v>0.333333333333333</x:v>
      </x:c>
      <x:c r="P2" s="9" t="n">
        <x:v>2.98294093446091</x:v>
      </x:c>
      <x:c r="Q2" s="9" t="n">
        <x:v>0</x:v>
      </x:c>
      <x:c r="R2" s="9" t="n">
        <x:v>0.333333333333333</x:v>
      </x:c>
      <x:c r="T2" s="9" t="n">
        <x:v>12.3333333333333</x:v>
      </x:c>
      <x:c r="U2" s="9" t="n">
        <x:v>5.42913418857646</x:v>
      </x:c>
      <x:c r="V2" s="9" t="n">
        <x:v>0</x:v>
      </x:c>
      <x:c r="W2" s="9" t="n">
        <x:v>12.3333333333333</x:v>
      </x:c>
    </x:row>
    <x:row r="3" ht="22" customHeight="1">
      <x:c r="A3" s="2" t="str">
        <x:v>250303-02</x:v>
      </x:c>
      <x:c r="B3" s="2" t="str">
        <x:v>Cross-road</x:v>
      </x:c>
      <x:c r="C3" s="9" t="n">
        <x:f>INDEX('Site_Comparison'!$E$2:$E$50,MATCH($A3,'Site_Comparison'!$A$2:$A$50,0))</x:f>
        <x:v>4</x:v>
      </x:c>
      <x:c r="D3" s="9" t="n">
        <x:f>INDEX('Site_Comparison'!$F$2:$F$50,MATCH($A3,'Site_Comparison'!$A$2:$A$50,0))</x:f>
        <x:v>9.50226526781901</x:v>
      </x:c>
      <x:c r="E3" s="9" t="n">
        <x:f>IF(ISBLANK(INDEX('Site_Comparison'!$G$2:$G$50,MATCH($A3,'Site_Comparison'!$A$2:$A$50,0))),"",INDEX('Site_Comparison'!$G$2:$G$50,MATCH($A3,'Site_Comparison'!$A$2:$A$50,0)))</x:f>
        <x:v>3</x:v>
      </x:c>
      <x:c r="F3" s="2" t="n">
        <x:f>IF(INDEX('Site_Comparison'!$P$2:$P$50,MATCH($A3,'Site_Comparison'!$A$2:$A$50,0)),1,0)</x:f>
        <x:v>1</x:v>
      </x:c>
      <x:c r="G3" s="9" t="n">
        <x:f>D3-C3</x:f>
        <x:v>5.502265267819009</x:v>
      </x:c>
      <x:c r="H3" s="9" t="n">
        <x:f>ABS(G3)</x:f>
        <x:v>5.502265267819009</x:v>
      </x:c>
      <x:c r="I3" s="9" t="n">
        <x:f>G3^2</x:f>
        <x:v>30.274923077447394</x:v>
      </x:c>
      <x:c r="J3" s="9" t="n">
        <x:f>IF(ISNUMBER(E3),E3-C3,"")</x:f>
        <x:v>-1</x:v>
      </x:c>
      <x:c r="K3" s="9" t="n">
        <x:f>IF(ISNUMBER(J3),ABS(J3),"")</x:f>
        <x:v>1</x:v>
      </x:c>
      <x:c r="L3" s="9" t="n">
        <x:f>IF(ISNUMBER(J3),J3^2,"")</x:f>
        <x:v>1</x:v>
      </x:c>
      <x:c r="M3" s="2"/>
      <x:c r="O3" s="9" t="n">
        <x:v>4</x:v>
      </x:c>
      <x:c r="P3" s="9" t="n">
        <x:v>9.50226526781901</x:v>
      </x:c>
      <x:c r="Q3" s="9" t="n">
        <x:v>3</x:v>
      </x:c>
      <x:c r="R3" s="9" t="n">
        <x:v>4</x:v>
      </x:c>
      <x:c r="T3" s="9" t="n">
        <x:v>7.66666666666667</x:v>
      </x:c>
      <x:c r="U3" s="9" t="n">
        <x:v>15.0120125642327</x:v>
      </x:c>
      <x:c r="V3" s="9" t="n">
        <x:v>12</x:v>
      </x:c>
      <x:c r="W3" s="9" t="n">
        <x:v>7.66666666666667</x:v>
      </x:c>
    </x:row>
    <x:row r="4" ht="22" customHeight="1">
      <x:c r="A4" s="2" t="str">
        <x:v>250303-03</x:v>
      </x:c>
      <x:c r="B4" s="2" t="str">
        <x:v>Cross-road</x:v>
      </x:c>
      <x:c r="C4" s="9" t="n">
        <x:f>INDEX('Site_Comparison'!$E$2:$E$50,MATCH($A4,'Site_Comparison'!$A$2:$A$50,0))</x:f>
        <x:v>47</x:v>
      </x:c>
      <x:c r="D4" s="9" t="n">
        <x:f>INDEX('Site_Comparison'!$F$2:$F$50,MATCH($A4,'Site_Comparison'!$A$2:$A$50,0))</x:f>
        <x:v>30.3619443577369</x:v>
      </x:c>
      <x:c r="E4" s="9" t="n">
        <x:f>IF(ISBLANK(INDEX('Site_Comparison'!$G$2:$G$50,MATCH($A4,'Site_Comparison'!$A$2:$A$50,0))),"",INDEX('Site_Comparison'!$G$2:$G$50,MATCH($A4,'Site_Comparison'!$A$2:$A$50,0)))</x:f>
        <x:v>22.6666666666667</x:v>
      </x:c>
      <x:c r="F4" s="2" t="n">
        <x:f>IF(INDEX('Site_Comparison'!$P$2:$P$50,MATCH($A4,'Site_Comparison'!$A$2:$A$50,0)),1,0)</x:f>
        <x:v>1</x:v>
      </x:c>
      <x:c r="G4" s="9" t="n">
        <x:f>D4-C4</x:f>
        <x:v>-16.6380556422631</x:v>
      </x:c>
      <x:c r="H4" s="9" t="n">
        <x:f>ABS(G4)</x:f>
        <x:v>16.6380556422631</x:v>
      </x:c>
      <x:c r="I4" s="9" t="n">
        <x:f>G4^2</x:f>
        <x:v>276.824895555043</x:v>
      </x:c>
      <x:c r="J4" s="9" t="n">
        <x:f>IF(ISNUMBER(E4),E4-C4,"")</x:f>
        <x:v>-24.3333333333333</x:v>
      </x:c>
      <x:c r="K4" s="9" t="n">
        <x:f>IF(ISNUMBER(J4),ABS(J4),"")</x:f>
        <x:v>24.3333333333333</x:v>
      </x:c>
      <x:c r="L4" s="9" t="n">
        <x:f>IF(ISNUMBER(J4),J4^2,"")</x:f>
        <x:v>592.1111111111095</x:v>
      </x:c>
      <x:c r="M4" s="2"/>
      <x:c r="O4" s="9" t="n">
        <x:v>47</x:v>
      </x:c>
      <x:c r="P4" s="9" t="n">
        <x:v>30.3619443577369</x:v>
      </x:c>
      <x:c r="Q4" s="9" t="n">
        <x:v>22.6666666666667</x:v>
      </x:c>
      <x:c r="R4" s="9" t="n">
        <x:v>47</x:v>
      </x:c>
      <x:c r="T4" s="9" t="n">
        <x:v>101.333333333333</x:v>
      </x:c>
      <x:c r="U4" s="9" t="n">
        <x:v>51.2905395776091</x:v>
      </x:c>
      <x:c r="V4" s="9" t="n">
        <x:v>102</x:v>
      </x:c>
      <x:c r="W4" s="9" t="n">
        <x:v>101.333333333333</x:v>
      </x:c>
    </x:row>
    <x:row r="5" ht="22" customHeight="1">
      <x:c r="A5" s="2" t="str">
        <x:v>250303-04</x:v>
      </x:c>
      <x:c r="B5" s="2" t="str">
        <x:v>Cross-road</x:v>
      </x:c>
      <x:c r="C5" s="9" t="n">
        <x:f>INDEX('Site_Comparison'!$E$2:$E$50,MATCH($A5,'Site_Comparison'!$A$2:$A$50,0))</x:f>
        <x:v>16</x:v>
      </x:c>
      <x:c r="D5" s="9" t="n">
        <x:f>INDEX('Site_Comparison'!$F$2:$F$50,MATCH($A5,'Site_Comparison'!$A$2:$A$50,0))</x:f>
        <x:v>2.22473358865958</x:v>
      </x:c>
      <x:c r="E5" s="9" t="n">
        <x:f>IF(ISBLANK(INDEX('Site_Comparison'!$G$2:$G$50,MATCH($A5,'Site_Comparison'!$A$2:$A$50,0))),"",INDEX('Site_Comparison'!$G$2:$G$50,MATCH($A5,'Site_Comparison'!$A$2:$A$50,0)))</x:f>
        <x:v>7</x:v>
      </x:c>
      <x:c r="F5" s="2" t="n">
        <x:f>IF(INDEX('Site_Comparison'!$P$2:$P$50,MATCH($A5,'Site_Comparison'!$A$2:$A$50,0)),1,0)</x:f>
        <x:v>1</x:v>
      </x:c>
      <x:c r="G5" s="9" t="n">
        <x:f>D5-C5</x:f>
        <x:v>-13.77526641134042</x:v>
      </x:c>
      <x:c r="H5" s="9" t="n">
        <x:f>ABS(G5)</x:f>
        <x:v>13.77526641134042</x:v>
      </x:c>
      <x:c r="I5" s="9" t="n">
        <x:f>G5^2</x:f>
        <x:v>189.75796470340356</x:v>
      </x:c>
      <x:c r="J5" s="9" t="n">
        <x:f>IF(ISNUMBER(E5),E5-C5,"")</x:f>
        <x:v>-9</x:v>
      </x:c>
      <x:c r="K5" s="9" t="n">
        <x:f>IF(ISNUMBER(J5),ABS(J5),"")</x:f>
        <x:v>9</x:v>
      </x:c>
      <x:c r="L5" s="9" t="n">
        <x:f>IF(ISNUMBER(J5),J5^2,"")</x:f>
        <x:v>81</x:v>
      </x:c>
      <x:c r="M5" s="2"/>
      <x:c r="O5" s="9" t="n">
        <x:v>16</x:v>
      </x:c>
      <x:c r="P5" s="9" t="n">
        <x:v>2.22473358865958</x:v>
      </x:c>
      <x:c r="Q5" s="9" t="n">
        <x:v>7</x:v>
      </x:c>
      <x:c r="R5" s="9" t="n">
        <x:v>16</x:v>
      </x:c>
      <x:c r="T5" s="9" t="n">
        <x:v>11</x:v>
      </x:c>
      <x:c r="U5" s="9" t="n">
        <x:v>3.65171324837878</x:v>
      </x:c>
      <x:c r="V5" s="9" t="n">
        <x:v>26</x:v>
      </x:c>
      <x:c r="W5" s="9" t="n">
        <x:v>11</x:v>
      </x:c>
    </x:row>
    <x:row r="6" ht="22" customHeight="1">
      <x:c r="A6" s="2" t="str">
        <x:v>250303-05</x:v>
      </x:c>
      <x:c r="B6" s="2" t="str">
        <x:v>Cross-road</x:v>
      </x:c>
      <x:c r="C6" s="9" t="n">
        <x:f>INDEX('Site_Comparison'!$E$2:$E$50,MATCH($A6,'Site_Comparison'!$A$2:$A$50,0))</x:f>
        <x:v>57.3333333333333</x:v>
      </x:c>
      <x:c r="D6" s="9" t="n">
        <x:f>INDEX('Site_Comparison'!$F$2:$F$50,MATCH($A6,'Site_Comparison'!$A$2:$A$50,0))</x:f>
        <x:v>37.4460902494697</x:v>
      </x:c>
      <x:c r="E6" s="9" t="n">
        <x:f>IF(ISBLANK(INDEX('Site_Comparison'!$G$2:$G$50,MATCH($A6,'Site_Comparison'!$A$2:$A$50,0))),"",INDEX('Site_Comparison'!$G$2:$G$50,MATCH($A6,'Site_Comparison'!$A$2:$A$50,0)))</x:f>
        <x:v>63.75</x:v>
      </x:c>
      <x:c r="F6" s="2" t="n">
        <x:f>IF(INDEX('Site_Comparison'!$P$2:$P$50,MATCH($A6,'Site_Comparison'!$A$2:$A$50,0)),1,0)</x:f>
        <x:v>1</x:v>
      </x:c>
      <x:c r="G6" s="9" t="n">
        <x:f>D6-C6</x:f>
        <x:v>-19.887243083863602</x:v>
      </x:c>
      <x:c r="H6" s="9" t="n">
        <x:f>ABS(G6)</x:f>
        <x:v>19.887243083863602</x:v>
      </x:c>
      <x:c r="I6" s="9" t="n">
        <x:f>G6^2</x:f>
        <x:v>395.50243747668065</x:v>
      </x:c>
      <x:c r="J6" s="9" t="n">
        <x:f>IF(ISNUMBER(E6),E6-C6,"")</x:f>
        <x:v>6.4166666666667</x:v>
      </x:c>
      <x:c r="K6" s="9" t="n">
        <x:f>IF(ISNUMBER(J6),ABS(J6),"")</x:f>
        <x:v>6.4166666666667</x:v>
      </x:c>
      <x:c r="L6" s="9" t="n">
        <x:f>IF(ISNUMBER(J6),J6^2,"")</x:f>
        <x:v>41.17361111111153</x:v>
      </x:c>
      <x:c r="M6" s="2"/>
      <x:c r="O6" s="9" t="n">
        <x:v>57.3333333333333</x:v>
      </x:c>
      <x:c r="P6" s="9" t="n">
        <x:v>37.4460902494697</x:v>
      </x:c>
      <x:c r="Q6" s="9" t="n">
        <x:v>63.75</x:v>
      </x:c>
      <x:c r="R6" s="9" t="n">
        <x:v>57.3333333333333</x:v>
      </x:c>
      <x:c r="T6" s="9" t="n">
        <x:v>108</x:v>
      </x:c>
      <x:c r="U6" s="9" t="n">
        <x:v>71.3996637174419</x:v>
      </x:c>
      <x:c r="V6" s="9" t="n">
        <x:v>78</x:v>
      </x:c>
      <x:c r="W6" s="9" t="n">
        <x:v>108</x:v>
      </x:c>
    </x:row>
    <x:row r="7" ht="22" customHeight="1">
      <x:c r="A7" s="2" t="str">
        <x:v>250303-06</x:v>
      </x:c>
      <x:c r="B7" s="2" t="str">
        <x:v>Cross-road</x:v>
      </x:c>
      <x:c r="C7" s="9" t="n">
        <x:f>INDEX('Site_Comparison'!$E$2:$E$50,MATCH($A7,'Site_Comparison'!$A$2:$A$50,0))</x:f>
        <x:v>52</x:v>
      </x:c>
      <x:c r="D7" s="9" t="n">
        <x:f>INDEX('Site_Comparison'!$F$2:$F$50,MATCH($A7,'Site_Comparison'!$A$2:$A$50,0))</x:f>
        <x:v>4.15808734353255</x:v>
      </x:c>
      <x:c r="E7" s="9" t="n">
        <x:f>IF(ISBLANK(INDEX('Site_Comparison'!$G$2:$G$50,MATCH($A7,'Site_Comparison'!$A$2:$A$50,0))),"",INDEX('Site_Comparison'!$G$2:$G$50,MATCH($A7,'Site_Comparison'!$A$2:$A$50,0)))</x:f>
        <x:v>22.6666666666667</x:v>
      </x:c>
      <x:c r="F7" s="2" t="n">
        <x:f>IF(INDEX('Site_Comparison'!$P$2:$P$50,MATCH($A7,'Site_Comparison'!$A$2:$A$50,0)),1,0)</x:f>
        <x:v>1</x:v>
      </x:c>
      <x:c r="G7" s="9" t="n">
        <x:f>D7-C7</x:f>
        <x:v>-47.84191265646745</x:v>
      </x:c>
      <x:c r="H7" s="9" t="n">
        <x:f>ABS(G7)</x:f>
        <x:v>47.84191265646745</x:v>
      </x:c>
      <x:c r="I7" s="9" t="n">
        <x:f>G7^2</x:f>
        <x:v>2288.84860662906</x:v>
      </x:c>
      <x:c r="J7" s="9" t="n">
        <x:f>IF(ISNUMBER(E7),E7-C7,"")</x:f>
        <x:v>-29.3333333333333</x:v>
      </x:c>
      <x:c r="K7" s="9" t="n">
        <x:f>IF(ISNUMBER(J7),ABS(J7),"")</x:f>
        <x:v>29.3333333333333</x:v>
      </x:c>
      <x:c r="L7" s="9" t="n">
        <x:f>IF(ISNUMBER(J7),J7^2,"")</x:f>
        <x:v>860.4444444444425</x:v>
      </x:c>
      <x:c r="M7" s="2"/>
      <x:c r="O7" s="9" t="n">
        <x:v>52</x:v>
      </x:c>
      <x:c r="P7" s="9" t="n">
        <x:v>4.15808734353255</x:v>
      </x:c>
      <x:c r="Q7" s="9" t="n">
        <x:v>22.6666666666667</x:v>
      </x:c>
      <x:c r="R7" s="9" t="n">
        <x:v>52</x:v>
      </x:c>
      <x:c r="T7" s="9" t="n">
        <x:v>21.3333333333333</x:v>
      </x:c>
      <x:c r="U7" s="9" t="n">
        <x:v>7.70995805277779</x:v>
      </x:c>
      <x:c r="V7" s="9" t="n">
        <x:v>150</x:v>
      </x:c>
      <x:c r="W7" s="9" t="n">
        <x:v>21.3333333333333</x:v>
      </x:c>
    </x:row>
    <x:row r="8" ht="22" customHeight="1">
      <x:c r="A8" s="2" t="str">
        <x:v>250303-07</x:v>
      </x:c>
      <x:c r="B8" s="2" t="str">
        <x:v>Cross-road</x:v>
      </x:c>
      <x:c r="C8" s="9" t="n">
        <x:f>INDEX('Site_Comparison'!$E$2:$E$50,MATCH($A8,'Site_Comparison'!$A$2:$A$50,0))</x:f>
        <x:v>46.6666666666667</x:v>
      </x:c>
      <x:c r="D8" s="9" t="n">
        <x:f>INDEX('Site_Comparison'!$F$2:$F$50,MATCH($A8,'Site_Comparison'!$A$2:$A$50,0))</x:f>
        <x:v>37.4460902494697</x:v>
      </x:c>
      <x:c r="E8" s="9" t="n">
        <x:f>IF(ISBLANK(INDEX('Site_Comparison'!$G$2:$G$50,MATCH($A8,'Site_Comparison'!$A$2:$A$50,0))),"",INDEX('Site_Comparison'!$G$2:$G$50,MATCH($A8,'Site_Comparison'!$A$2:$A$50,0)))</x:f>
        <x:v>38</x:v>
      </x:c>
      <x:c r="F8" s="2" t="n">
        <x:f>IF(INDEX('Site_Comparison'!$P$2:$P$50,MATCH($A8,'Site_Comparison'!$A$2:$A$50,0)),1,0)</x:f>
        <x:v>1</x:v>
      </x:c>
      <x:c r="G8" s="9" t="n">
        <x:f>D8-C8</x:f>
        <x:v>-9.220576417197002</x:v>
      </x:c>
      <x:c r="H8" s="9" t="n">
        <x:f>ABS(G8)</x:f>
        <x:v>9.220576417197002</x:v>
      </x:c>
      <x:c r="I8" s="9" t="n">
        <x:f>G8^2</x:f>
        <x:v>85.0190294653695</x:v>
      </x:c>
      <x:c r="J8" s="9" t="n">
        <x:f>IF(ISNUMBER(E8),E8-C8,"")</x:f>
        <x:v>-8.6666666666667</x:v>
      </x:c>
      <x:c r="K8" s="9" t="n">
        <x:f>IF(ISNUMBER(J8),ABS(J8),"")</x:f>
        <x:v>8.6666666666667</x:v>
      </x:c>
      <x:c r="L8" s="9" t="n">
        <x:f>IF(ISNUMBER(J8),J8^2,"")</x:f>
        <x:v>75.11111111111168</x:v>
      </x:c>
      <x:c r="M8" s="2"/>
      <x:c r="O8" s="9" t="n">
        <x:v>46.6666666666667</x:v>
      </x:c>
      <x:c r="P8" s="9" t="n">
        <x:v>37.4460902494697</x:v>
      </x:c>
      <x:c r="Q8" s="9" t="n">
        <x:v>38</x:v>
      </x:c>
      <x:c r="R8" s="9" t="n">
        <x:v>46.6666666666667</x:v>
      </x:c>
      <x:c r="T8" s="9" t="n">
        <x:v>52.3333333333333</x:v>
      </x:c>
      <x:c r="U8" s="9" t="n">
        <x:v>71.3996637174419</x:v>
      </x:c>
      <x:c r="V8" s="9" t="n">
        <x:v>51</x:v>
      </x:c>
      <x:c r="W8" s="9" t="n">
        <x:v>52.3333333333333</x:v>
      </x:c>
    </x:row>
    <x:row r="9" ht="22" customHeight="1">
      <x:c r="A9" s="2" t="str">
        <x:v>250303-08</x:v>
      </x:c>
      <x:c r="B9" s="2" t="str">
        <x:v>Cross-road</x:v>
      </x:c>
      <x:c r="C9" s="9" t="n">
        <x:f>INDEX('Site_Comparison'!$E$2:$E$50,MATCH($A9,'Site_Comparison'!$A$2:$A$50,0))</x:f>
        <x:v>34.3333333333333</x:v>
      </x:c>
      <x:c r="D9" s="9" t="n">
        <x:f>INDEX('Site_Comparison'!$F$2:$F$50,MATCH($A9,'Site_Comparison'!$A$2:$A$50,0))</x:f>
        <x:v>30.608277747067</x:v>
      </x:c>
      <x:c r="E9" s="9" t="n">
        <x:f>IF(ISBLANK(INDEX('Site_Comparison'!$G$2:$G$50,MATCH($A9,'Site_Comparison'!$A$2:$A$50,0))),"",INDEX('Site_Comparison'!$G$2:$G$50,MATCH($A9,'Site_Comparison'!$A$2:$A$50,0)))</x:f>
        <x:v>26.5</x:v>
      </x:c>
      <x:c r="F9" s="2" t="n">
        <x:f>IF(INDEX('Site_Comparison'!$P$2:$P$50,MATCH($A9,'Site_Comparison'!$A$2:$A$50,0)),1,0)</x:f>
        <x:v>1</x:v>
      </x:c>
      <x:c r="G9" s="9" t="n">
        <x:f>D9-C9</x:f>
        <x:v>-3.7250555862663006</x:v>
      </x:c>
      <x:c r="H9" s="9" t="n">
        <x:f>ABS(G9)</x:f>
        <x:v>3.7250555862663006</x:v>
      </x:c>
      <x:c r="I9" s="9" t="n">
        <x:f>G9^2</x:f>
        <x:v>13.876039120773772</x:v>
      </x:c>
      <x:c r="J9" s="9" t="n">
        <x:f>IF(ISNUMBER(E9),E9-C9,"")</x:f>
        <x:v>-7.8333333333333</x:v>
      </x:c>
      <x:c r="K9" s="9" t="n">
        <x:f>IF(ISNUMBER(J9),ABS(J9),"")</x:f>
        <x:v>7.8333333333333</x:v>
      </x:c>
      <x:c r="L9" s="9" t="n">
        <x:f>IF(ISNUMBER(J9),J9^2,"")</x:f>
        <x:v>61.36111111111059</x:v>
      </x:c>
      <x:c r="M9" s="2"/>
      <x:c r="O9" s="9" t="n">
        <x:v>34.3333333333333</x:v>
      </x:c>
      <x:c r="P9" s="9" t="n">
        <x:v>30.608277747067</x:v>
      </x:c>
      <x:c r="Q9" s="9" t="n">
        <x:v>26.5</x:v>
      </x:c>
      <x:c r="R9" s="9" t="n">
        <x:v>34.3333333333333</x:v>
      </x:c>
      <x:c r="T9" s="9" t="n">
        <x:v>53</x:v>
      </x:c>
      <x:c r="U9" s="9" t="n">
        <x:v>51.7729471822099</x:v>
      </x:c>
      <x:c r="V9" s="9" t="n">
        <x:v>84</x:v>
      </x:c>
      <x:c r="W9" s="9" t="n">
        <x:v>53</x:v>
      </x:c>
    </x:row>
    <x:row r="10" ht="22" customHeight="1">
      <x:c r="A10" s="2" t="str">
        <x:v>250303-09</x:v>
      </x:c>
      <x:c r="B10" s="2" t="str">
        <x:v>Cross-road</x:v>
      </x:c>
      <x:c r="C10" s="9" t="n">
        <x:f>INDEX('Site_Comparison'!$E$2:$E$50,MATCH($A10,'Site_Comparison'!$A$2:$A$50,0))</x:f>
        <x:v>26.3333333333333</x:v>
      </x:c>
      <x:c r="D10" s="9" t="n">
        <x:f>INDEX('Site_Comparison'!$F$2:$F$50,MATCH($A10,'Site_Comparison'!$A$2:$A$50,0))</x:f>
        <x:v>28.5408023629786</x:v>
      </x:c>
      <x:c r="E10" s="9" t="n">
        <x:f>IF(ISBLANK(INDEX('Site_Comparison'!$G$2:$G$50,MATCH($A10,'Site_Comparison'!$A$2:$A$50,0))),"",INDEX('Site_Comparison'!$G$2:$G$50,MATCH($A10,'Site_Comparison'!$A$2:$A$50,0)))</x:f>
        <x:v>22.6666666666667</x:v>
      </x:c>
      <x:c r="F10" s="2" t="n">
        <x:f>IF(INDEX('Site_Comparison'!$P$2:$P$50,MATCH($A10,'Site_Comparison'!$A$2:$A$50,0)),1,0)</x:f>
        <x:v>1</x:v>
      </x:c>
      <x:c r="G10" s="9" t="n">
        <x:f>D10-C10</x:f>
        <x:v>2.2074690296452992</x:v>
      </x:c>
      <x:c r="H10" s="9" t="n">
        <x:f>ABS(G10)</x:f>
        <x:v>2.2074690296452992</x:v>
      </x:c>
      <x:c r="I10" s="9" t="n">
        <x:f>G10^2</x:f>
        <x:v>4.872919516843159</x:v>
      </x:c>
      <x:c r="J10" s="9" t="n">
        <x:f>IF(ISNUMBER(E10),E10-C10,"")</x:f>
        <x:v>-3.6666666666666003</x:v>
      </x:c>
      <x:c r="K10" s="9" t="n">
        <x:f>IF(ISNUMBER(J10),ABS(J10),"")</x:f>
        <x:v>3.6666666666666003</x:v>
      </x:c>
      <x:c r="L10" s="9" t="n">
        <x:f>IF(ISNUMBER(J10),J10^2,"")</x:f>
        <x:v>13.444444444443958</x:v>
      </x:c>
      <x:c r="M10" s="2"/>
      <x:c r="O10" s="9" t="n">
        <x:v>26.3333333333333</x:v>
      </x:c>
      <x:c r="P10" s="9" t="n">
        <x:v>28.5408023629786</x:v>
      </x:c>
      <x:c r="Q10" s="9" t="n">
        <x:v>22.6666666666667</x:v>
      </x:c>
      <x:c r="R10" s="9" t="n">
        <x:v>26.3333333333333</x:v>
      </x:c>
      <x:c r="T10" s="9" t="n">
        <x:v>13</x:v>
      </x:c>
      <x:c r="U10" s="9" t="n">
        <x:v>52.9386676042684</x:v>
      </x:c>
      <x:c r="V10" s="9" t="n">
        <x:v>102</x:v>
      </x:c>
      <x:c r="W10" s="9" t="n">
        <x:v>13</x:v>
      </x:c>
    </x:row>
    <x:row r="11" ht="22" customHeight="1">
      <x:c r="A11" s="2" t="str">
        <x:v>250303-10</x:v>
      </x:c>
      <x:c r="B11" s="2" t="str">
        <x:v>Cross-road</x:v>
      </x:c>
      <x:c r="C11" s="9" t="n">
        <x:f>INDEX('Site_Comparison'!$E$2:$E$50,MATCH($A11,'Site_Comparison'!$A$2:$A$50,0))</x:f>
        <x:v>96.6666666666667</x:v>
      </x:c>
      <x:c r="D11" s="9" t="n">
        <x:f>INDEX('Site_Comparison'!$F$2:$F$50,MATCH($A11,'Site_Comparison'!$A$2:$A$50,0))</x:f>
        <x:v>107.141274737072</x:v>
      </x:c>
      <x:c r="E11" s="9" t="n">
        <x:f>IF(ISBLANK(INDEX('Site_Comparison'!$G$2:$G$50,MATCH($A11,'Site_Comparison'!$A$2:$A$50,0))),"",INDEX('Site_Comparison'!$G$2:$G$50,MATCH($A11,'Site_Comparison'!$A$2:$A$50,0)))</x:f>
        <x:v>22.6666666666667</x:v>
      </x:c>
      <x:c r="F11" s="2" t="n">
        <x:f>IF(INDEX('Site_Comparison'!$P$2:$P$50,MATCH($A11,'Site_Comparison'!$A$2:$A$50,0)),1,0)</x:f>
        <x:v>1</x:v>
      </x:c>
      <x:c r="G11" s="9" t="n">
        <x:f>D11-C11</x:f>
        <x:v>10.474608070405296</x:v>
      </x:c>
      <x:c r="H11" s="9" t="n">
        <x:f>ABS(G11)</x:f>
        <x:v>10.474608070405296</x:v>
      </x:c>
      <x:c r="I11" s="9" t="n">
        <x:f>G11^2</x:f>
        <x:v>109.71741422859975</x:v>
      </x:c>
      <x:c r="J11" s="9" t="n">
        <x:f>IF(ISNUMBER(E11),E11-C11,"")</x:f>
        <x:v>-74</x:v>
      </x:c>
      <x:c r="K11" s="9" t="n">
        <x:f>IF(ISNUMBER(J11),ABS(J11),"")</x:f>
        <x:v>74</x:v>
      </x:c>
      <x:c r="L11" s="9" t="n">
        <x:f>IF(ISNUMBER(J11),J11^2,"")</x:f>
        <x:v>5476</x:v>
      </x:c>
      <x:c r="M11" s="2"/>
      <x:c r="O11" s="9" t="n">
        <x:v>96.6666666666667</x:v>
      </x:c>
      <x:c r="P11" s="9" t="n">
        <x:v>107.141274737072</x:v>
      </x:c>
      <x:c r="Q11" s="9" t="n">
        <x:v>22.6666666666667</x:v>
      </x:c>
      <x:c r="R11" s="9" t="n">
        <x:v>96.6666666666667</x:v>
      </x:c>
      <x:c r="T11" s="9" t="n">
        <x:v>349.666666666667</x:v>
      </x:c>
      <x:c r="U11" s="9" t="n">
        <x:v>242.888229555798</x:v>
      </x:c>
      <x:c r="V11" s="9" t="n">
        <x:v>102</x:v>
      </x:c>
      <x:c r="W11" s="9" t="n">
        <x:v>349.666666666667</x:v>
      </x:c>
    </x:row>
    <x:row r="12" ht="22" customHeight="1">
      <x:c r="A12" s="2" t="str">
        <x:v>250303-11</x:v>
      </x:c>
      <x:c r="B12" s="2" t="str">
        <x:v>Cross-road</x:v>
      </x:c>
      <x:c r="C12" s="9" t="n">
        <x:f>INDEX('Site_Comparison'!$E$2:$E$50,MATCH($A12,'Site_Comparison'!$A$2:$A$50,0))</x:f>
        <x:v>192.333333333333</x:v>
      </x:c>
      <x:c r="D12" s="9" t="n">
        <x:f>INDEX('Site_Comparison'!$F$2:$F$50,MATCH($A12,'Site_Comparison'!$A$2:$A$50,0))</x:f>
        <x:v>89.4091435851842</x:v>
      </x:c>
      <x:c r="E12" s="9" t="n">
        <x:f>IF(ISBLANK(INDEX('Site_Comparison'!$G$2:$G$50,MATCH($A12,'Site_Comparison'!$A$2:$A$50,0))),"",INDEX('Site_Comparison'!$G$2:$G$50,MATCH($A12,'Site_Comparison'!$A$2:$A$50,0)))</x:f>
        <x:v>35</x:v>
      </x:c>
      <x:c r="F12" s="2" t="n">
        <x:f>IF(INDEX('Site_Comparison'!$P$2:$P$50,MATCH($A12,'Site_Comparison'!$A$2:$A$50,0)),1,0)</x:f>
        <x:v>1</x:v>
      </x:c>
      <x:c r="G12" s="9" t="n">
        <x:f>D12-C12</x:f>
        <x:v>-102.9241897481488</x:v>
      </x:c>
      <x:c r="H12" s="9" t="n">
        <x:f>ABS(G12)</x:f>
        <x:v>102.9241897481488</x:v>
      </x:c>
      <x:c r="I12" s="9" t="n">
        <x:f>G12^2</x:f>
        <x:v>10593.38883531294</x:v>
      </x:c>
      <x:c r="J12" s="9" t="n">
        <x:f>IF(ISNUMBER(E12),E12-C12,"")</x:f>
        <x:v>-157.333333333333</x:v>
      </x:c>
      <x:c r="K12" s="9" t="n">
        <x:f>IF(ISNUMBER(J12),ABS(J12),"")</x:f>
        <x:v>157.333333333333</x:v>
      </x:c>
      <x:c r="L12" s="9" t="n">
        <x:f>IF(ISNUMBER(J12),J12^2,"")</x:f>
        <x:v>24753.777777777672</x:v>
      </x:c>
      <x:c r="M12" s="2"/>
      <x:c r="O12" s="9" t="n">
        <x:v>192.333333333333</x:v>
      </x:c>
      <x:c r="P12" s="9" t="n">
        <x:v>89.4091435851842</x:v>
      </x:c>
      <x:c r="Q12" s="9" t="n">
        <x:v>35</x:v>
      </x:c>
      <x:c r="R12" s="9" t="n">
        <x:v>192.333333333333</x:v>
      </x:c>
      <x:c r="T12" s="9" t="n">
        <x:v>328.666666666667</x:v>
      </x:c>
      <x:c r="U12" s="9" t="n">
        <x:v>172.841081256918</x:v>
      </x:c>
      <x:c r="V12" s="9" t="n">
        <x:v>150</x:v>
      </x:c>
      <x:c r="W12" s="9" t="n">
        <x:v>328.666666666667</x:v>
      </x:c>
    </x:row>
    <x:row r="13" ht="22" customHeight="1">
      <x:c r="A13" s="2" t="str">
        <x:v>250303-12</x:v>
      </x:c>
      <x:c r="B13" s="2" t="str">
        <x:v>Cross-road</x:v>
      </x:c>
      <x:c r="C13" s="9" t="n">
        <x:f>INDEX('Site_Comparison'!$E$2:$E$50,MATCH($A13,'Site_Comparison'!$A$2:$A$50,0))</x:f>
        <x:v>52</x:v>
      </x:c>
      <x:c r="D13" s="9" t="n">
        <x:f>INDEX('Site_Comparison'!$F$2:$F$50,MATCH($A13,'Site_Comparison'!$A$2:$A$50,0))</x:f>
        <x:v>38.3101718276473</x:v>
      </x:c>
      <x:c r="E13" s="9" t="n">
        <x:f>IF(ISBLANK(INDEX('Site_Comparison'!$G$2:$G$50,MATCH($A13,'Site_Comparison'!$A$2:$A$50,0))),"",INDEX('Site_Comparison'!$G$2:$G$50,MATCH($A13,'Site_Comparison'!$A$2:$A$50,0)))</x:f>
        <x:v>22.6666666666667</x:v>
      </x:c>
      <x:c r="F13" s="2" t="n">
        <x:f>IF(INDEX('Site_Comparison'!$P$2:$P$50,MATCH($A13,'Site_Comparison'!$A$2:$A$50,0)),1,0)</x:f>
        <x:v>1</x:v>
      </x:c>
      <x:c r="G13" s="9" t="n">
        <x:f>D13-C13</x:f>
        <x:v>-13.689828172352698</x:v>
      </x:c>
      <x:c r="H13" s="9" t="n">
        <x:f>ABS(G13)</x:f>
        <x:v>13.689828172352698</x:v>
      </x:c>
      <x:c r="I13" s="9" t="n">
        <x:f>G13^2</x:f>
        <x:v>187.4113953885416</x:v>
      </x:c>
      <x:c r="J13" s="9" t="n">
        <x:f>IF(ISNUMBER(E13),E13-C13,"")</x:f>
        <x:v>-29.3333333333333</x:v>
      </x:c>
      <x:c r="K13" s="9" t="n">
        <x:f>IF(ISNUMBER(J13),ABS(J13),"")</x:f>
        <x:v>29.3333333333333</x:v>
      </x:c>
      <x:c r="L13" s="9" t="n">
        <x:f>IF(ISNUMBER(J13),J13^2,"")</x:f>
        <x:v>860.4444444444425</x:v>
      </x:c>
      <x:c r="M13" s="2"/>
      <x:c r="O13" s="9" t="n">
        <x:v>52</x:v>
      </x:c>
      <x:c r="P13" s="9" t="n">
        <x:v>38.3101718276473</x:v>
      </x:c>
      <x:c r="Q13" s="9" t="n">
        <x:v>22.6666666666667</x:v>
      </x:c>
      <x:c r="R13" s="9" t="n">
        <x:v>52</x:v>
      </x:c>
      <x:c r="T13" s="9" t="n">
        <x:v>91.6666666666667</x:v>
      </x:c>
      <x:c r="U13" s="9" t="n">
        <x:v>61.0918223716678</x:v>
      </x:c>
      <x:c r="V13" s="9" t="n">
        <x:v>126</x:v>
      </x:c>
      <x:c r="W13" s="9" t="n">
        <x:v>91.6666666666667</x:v>
      </x:c>
    </x:row>
    <x:row r="14" ht="22" customHeight="1">
      <x:c r="A14" s="2" t="str">
        <x:v>250303-13</x:v>
      </x:c>
      <x:c r="B14" s="2" t="str">
        <x:v>Cross-road</x:v>
      </x:c>
      <x:c r="C14" s="9" t="n">
        <x:f>INDEX('Site_Comparison'!$E$2:$E$50,MATCH($A14,'Site_Comparison'!$A$2:$A$50,0))</x:f>
        <x:v>3</x:v>
      </x:c>
      <x:c r="D14" s="9" t="n">
        <x:f>INDEX('Site_Comparison'!$F$2:$F$50,MATCH($A14,'Site_Comparison'!$A$2:$A$50,0))</x:f>
        <x:v>20.862897982185</x:v>
      </x:c>
      <x:c r="E14" s="9" t="n">
        <x:f>IF(ISBLANK(INDEX('Site_Comparison'!$G$2:$G$50,MATCH($A14,'Site_Comparison'!$A$2:$A$50,0))),"",INDEX('Site_Comparison'!$G$2:$G$50,MATCH($A14,'Site_Comparison'!$A$2:$A$50,0)))</x:f>
        <x:v>15</x:v>
      </x:c>
      <x:c r="F14" s="2" t="n">
        <x:f>IF(INDEX('Site_Comparison'!$P$2:$P$50,MATCH($A14,'Site_Comparison'!$A$2:$A$50,0)),1,0)</x:f>
        <x:v>1</x:v>
      </x:c>
      <x:c r="G14" s="9" t="n">
        <x:f>D14-C14</x:f>
        <x:v>17.862897982185</x:v>
      </x:c>
      <x:c r="H14" s="9" t="n">
        <x:f>ABS(G14)</x:f>
        <x:v>17.862897982185</x:v>
      </x:c>
      <x:c r="I14" s="9" t="n">
        <x:f>G14^2</x:f>
        <x:v>319.08312432194896</x:v>
      </x:c>
      <x:c r="J14" s="9" t="n">
        <x:f>IF(ISNUMBER(E14),E14-C14,"")</x:f>
        <x:v>12</x:v>
      </x:c>
      <x:c r="K14" s="9" t="n">
        <x:f>IF(ISNUMBER(J14),ABS(J14),"")</x:f>
        <x:v>12</x:v>
      </x:c>
      <x:c r="L14" s="9" t="n">
        <x:f>IF(ISNUMBER(J14),J14^2,"")</x:f>
        <x:v>144</x:v>
      </x:c>
      <x:c r="M14" s="2"/>
      <x:c r="O14" s="9" t="n">
        <x:v>3</x:v>
      </x:c>
      <x:c r="P14" s="9" t="n">
        <x:v>20.862897982185</x:v>
      </x:c>
      <x:c r="Q14" s="9" t="n">
        <x:v>15</x:v>
      </x:c>
      <x:c r="R14" s="9" t="n">
        <x:v>3</x:v>
      </x:c>
      <x:c r="T14" s="9" t="n">
        <x:v>12.3333333333333</x:v>
      </x:c>
      <x:c r="U14" s="9" t="n">
        <x:v>39.2425400796142</x:v>
      </x:c>
      <x:c r="V14" s="9" t="n">
        <x:v>126</x:v>
      </x:c>
      <x:c r="W14" s="9" t="n">
        <x:v>12.3333333333333</x:v>
      </x:c>
    </x:row>
    <x:row r="15" ht="22" customHeight="1">
      <x:c r="A15" s="2" t="str">
        <x:v>250303-14</x:v>
      </x:c>
      <x:c r="B15" s="2" t="str">
        <x:v>Cross-road</x:v>
      </x:c>
      <x:c r="C15" s="9" t="n">
        <x:f>INDEX('Site_Comparison'!$E$2:$E$50,MATCH($A15,'Site_Comparison'!$A$2:$A$50,0))</x:f>
        <x:v>32.3333333333333</x:v>
      </x:c>
      <x:c r="D15" s="9" t="n">
        <x:f>INDEX('Site_Comparison'!$F$2:$F$50,MATCH($A15,'Site_Comparison'!$A$2:$A$50,0))</x:f>
        <x:v>20.862897982185</x:v>
      </x:c>
      <x:c r="E15" s="9" t="n">
        <x:f>IF(ISBLANK(INDEX('Site_Comparison'!$G$2:$G$50,MATCH($A15,'Site_Comparison'!$A$2:$A$50,0))),"",INDEX('Site_Comparison'!$G$2:$G$50,MATCH($A15,'Site_Comparison'!$A$2:$A$50,0)))</x:f>
        <x:v>32.25</x:v>
      </x:c>
      <x:c r="F15" s="2" t="n">
        <x:f>IF(INDEX('Site_Comparison'!$P$2:$P$50,MATCH($A15,'Site_Comparison'!$A$2:$A$50,0)),1,0)</x:f>
        <x:v>1</x:v>
      </x:c>
      <x:c r="G15" s="9" t="n">
        <x:f>D15-C15</x:f>
        <x:v>-11.4704353511483</x:v>
      </x:c>
      <x:c r="H15" s="9" t="n">
        <x:f>ABS(G15)</x:f>
        <x:v>11.4704353511483</x:v>
      </x:c>
      <x:c r="I15" s="9" t="n">
        <x:f>G15^2</x:f>
        <x:v>131.57088714487261</x:v>
      </x:c>
      <x:c r="J15" s="9" t="n">
        <x:f>IF(ISNUMBER(E15),E15-C15,"")</x:f>
        <x:v>-0.08333333333330017</x:v>
      </x:c>
      <x:c r="K15" s="9" t="n">
        <x:f>IF(ISNUMBER(J15),ABS(J15),"")</x:f>
        <x:v>0.08333333333330017</x:v>
      </x:c>
      <x:c r="L15" s="9" t="n">
        <x:f>IF(ISNUMBER(J15),J15^2,"")</x:f>
        <x:v>0.006944444444438918</x:v>
      </x:c>
      <x:c r="M15" s="2"/>
      <x:c r="O15" s="9" t="n">
        <x:v>32.3333333333333</x:v>
      </x:c>
      <x:c r="P15" s="9" t="n">
        <x:v>20.862897982185</x:v>
      </x:c>
      <x:c r="Q15" s="9" t="n">
        <x:v>32.25</x:v>
      </x:c>
      <x:c r="R15" s="9" t="n">
        <x:v>32.3333333333333</x:v>
      </x:c>
      <x:c r="T15" s="9" t="n">
        <x:v>30.6666666666667</x:v>
      </x:c>
      <x:c r="U15" s="9" t="n">
        <x:v>39.2425400796142</x:v>
      </x:c>
      <x:c r="V15" s="9" t="n">
        <x:v>96</x:v>
      </x:c>
      <x:c r="W15" s="9" t="n">
        <x:v>30.6666666666667</x:v>
      </x:c>
    </x:row>
    <x:row r="16" ht="22" customHeight="1">
      <x:c r="A16" s="2" t="str">
        <x:v>250303-16</x:v>
      </x:c>
      <x:c r="B16" s="2" t="str">
        <x:v>Cross-road</x:v>
      </x:c>
      <x:c r="C16" s="9" t="n">
        <x:f>INDEX('Site_Comparison'!$E$2:$E$50,MATCH($A16,'Site_Comparison'!$A$2:$A$50,0))</x:f>
        <x:v>15</x:v>
      </x:c>
      <x:c r="D16" s="9" t="n">
        <x:f>INDEX('Site_Comparison'!$F$2:$F$50,MATCH($A16,'Site_Comparison'!$A$2:$A$50,0))</x:f>
        <x:v>9.55426639240122</x:v>
      </x:c>
      <x:c r="E16" s="9" t="n">
        <x:f>IF(ISBLANK(INDEX('Site_Comparison'!$G$2:$G$50,MATCH($A16,'Site_Comparison'!$A$2:$A$50,0))),"",INDEX('Site_Comparison'!$G$2:$G$50,MATCH($A16,'Site_Comparison'!$A$2:$A$50,0)))</x:f>
        <x:v>15</x:v>
      </x:c>
      <x:c r="F16" s="2" t="n">
        <x:f>IF(INDEX('Site_Comparison'!$P$2:$P$50,MATCH($A16,'Site_Comparison'!$A$2:$A$50,0)),1,0)</x:f>
        <x:v>1</x:v>
      </x:c>
      <x:c r="G16" s="9" t="n">
        <x:f>D16-C16</x:f>
        <x:v>-5.445733607598781</x:v>
      </x:c>
      <x:c r="H16" s="9" t="n">
        <x:f>ABS(G16)</x:f>
        <x:v>5.445733607598781</x:v>
      </x:c>
      <x:c r="I16" s="9" t="n">
        <x:f>G16^2</x:f>
        <x:v>29.656014524930832</x:v>
      </x:c>
      <x:c r="J16" s="9" t="n">
        <x:f>IF(ISNUMBER(E16),E16-C16,"")</x:f>
        <x:v>0</x:v>
      </x:c>
      <x:c r="K16" s="9" t="n">
        <x:f>IF(ISNUMBER(J16),ABS(J16),"")</x:f>
        <x:v>0</x:v>
      </x:c>
      <x:c r="L16" s="9" t="n">
        <x:f>IF(ISNUMBER(J16),J16^2,"")</x:f>
        <x:v>0</x:v>
      </x:c>
      <x:c r="M16" s="2"/>
      <x:c r="O16" s="9" t="n">
        <x:v>15</x:v>
      </x:c>
      <x:c r="P16" s="9" t="n">
        <x:v>9.55426639240122</x:v>
      </x:c>
      <x:c r="Q16" s="9" t="n">
        <x:v>15</x:v>
      </x:c>
      <x:c r="R16" s="9" t="n">
        <x:v>15</x:v>
      </x:c>
      <x:c r="T16" s="9" t="n">
        <x:v>30.6666666666667</x:v>
      </x:c>
      <x:c r="U16" s="9" t="n">
        <x:v>14.8642185388526</x:v>
      </x:c>
      <x:c r="V16" s="9" t="n">
        <x:v>78</x:v>
      </x:c>
      <x:c r="W16" s="9" t="n">
        <x:v>30.6666666666667</x:v>
      </x:c>
    </x:row>
    <x:row r="17" ht="22" customHeight="1">
      <x:c r="A17" s="2" t="str">
        <x:v>250303-17</x:v>
      </x:c>
      <x:c r="B17" s="2" t="str">
        <x:v>Cross-road</x:v>
      </x:c>
      <x:c r="C17" s="9" t="n">
        <x:f>INDEX('Site_Comparison'!$E$2:$E$50,MATCH($A17,'Site_Comparison'!$A$2:$A$50,0))</x:f>
        <x:v>0.333333333333333</x:v>
      </x:c>
      <x:c r="D17" s="9" t="n">
        <x:f>INDEX('Site_Comparison'!$F$2:$F$50,MATCH($A17,'Site_Comparison'!$A$2:$A$50,0))</x:f>
        <x:v>3.61215401171407</x:v>
      </x:c>
      <x:c r="E17" s="9" t="n">
        <x:f>IF(ISBLANK(INDEX('Site_Comparison'!$G$2:$G$50,MATCH($A17,'Site_Comparison'!$A$2:$A$50,0))),"",INDEX('Site_Comparison'!$G$2:$G$50,MATCH($A17,'Site_Comparison'!$A$2:$A$50,0)))</x:f>
        <x:v>16.5</x:v>
      </x:c>
      <x:c r="F17" s="2" t="n">
        <x:f>IF(INDEX('Site_Comparison'!$P$2:$P$50,MATCH($A17,'Site_Comparison'!$A$2:$A$50,0)),1,0)</x:f>
        <x:v>1</x:v>
      </x:c>
      <x:c r="G17" s="9" t="n">
        <x:f>D17-C17</x:f>
        <x:v>3.278820678380737</x:v>
      </x:c>
      <x:c r="H17" s="9" t="n">
        <x:f>ABS(G17)</x:f>
        <x:v>3.278820678380737</x:v>
      </x:c>
      <x:c r="I17" s="9" t="n">
        <x:f>G17^2</x:f>
        <x:v>10.750665040977117</x:v>
      </x:c>
      <x:c r="J17" s="9" t="n">
        <x:f>IF(ISNUMBER(E17),E17-C17,"")</x:f>
        <x:v>16.166666666666668</x:v>
      </x:c>
      <x:c r="K17" s="9" t="n">
        <x:f>IF(ISNUMBER(J17),ABS(J17),"")</x:f>
        <x:v>16.166666666666668</x:v>
      </x:c>
      <x:c r="L17" s="9" t="n">
        <x:f>IF(ISNUMBER(J17),J17^2,"")</x:f>
        <x:v>261.36111111111114</x:v>
      </x:c>
      <x:c r="M17" s="2"/>
      <x:c r="O17" s="9" t="n">
        <x:v>0.333333333333333</x:v>
      </x:c>
      <x:c r="P17" s="9" t="n">
        <x:v>3.61215401171407</x:v>
      </x:c>
      <x:c r="Q17" s="9" t="n">
        <x:v>16.5</x:v>
      </x:c>
      <x:c r="R17" s="9" t="n">
        <x:v>0.333333333333333</x:v>
      </x:c>
      <x:c r="T17" s="9" t="n">
        <x:v>10</x:v>
      </x:c>
      <x:c r="U17" s="9" t="n">
        <x:v>6.00867163249303</x:v>
      </x:c>
      <x:c r="V17" s="9" t="n">
        <x:v>18.6666666666667</x:v>
      </x:c>
      <x:c r="W17" s="9" t="n">
        <x:v>10</x:v>
      </x:c>
    </x:row>
    <x:row r="18" ht="22" customHeight="1">
      <x:c r="A18" s="2" t="str">
        <x:v>250341-01</x:v>
      </x:c>
      <x:c r="B18" s="2" t="str">
        <x:v>Cross-road</x:v>
      </x:c>
      <x:c r="C18" s="9" t="n">
        <x:f>INDEX('Site_Comparison'!$E$2:$E$50,MATCH($A18,'Site_Comparison'!$A$2:$A$50,0))</x:f>
        <x:v>8.33333333333333</x:v>
      </x:c>
      <x:c r="D18" s="9" t="n">
        <x:f>INDEX('Site_Comparison'!$F$2:$F$50,MATCH($A18,'Site_Comparison'!$A$2:$A$50,0))</x:f>
        <x:v>4.24575868254305</x:v>
      </x:c>
      <x:c r="E18" s="9" t="n">
        <x:f>IF(ISBLANK(INDEX('Site_Comparison'!$G$2:$G$50,MATCH($A18,'Site_Comparison'!$A$2:$A$50,0))),"",INDEX('Site_Comparison'!$G$2:$G$50,MATCH($A18,'Site_Comparison'!$A$2:$A$50,0)))</x:f>
        <x:v>18.6666666666667</x:v>
      </x:c>
      <x:c r="F18" s="2" t="n">
        <x:f>IF(INDEX('Site_Comparison'!$P$2:$P$50,MATCH($A18,'Site_Comparison'!$A$2:$A$50,0)),1,0)</x:f>
        <x:v>1</x:v>
      </x:c>
      <x:c r="G18" s="9" t="n">
        <x:f>D18-C18</x:f>
        <x:v>-4.08757465079028</x:v>
      </x:c>
      <x:c r="H18" s="9" t="n">
        <x:f>ABS(G18)</x:f>
        <x:v>4.08757465079028</x:v>
      </x:c>
      <x:c r="I18" s="9" t="n">
        <x:f>G18^2</x:f>
        <x:v>16.708266525783284</x:v>
      </x:c>
      <x:c r="J18" s="9" t="n">
        <x:f>IF(ISNUMBER(E18),E18-C18,"")</x:f>
        <x:v>10.33333333333337</x:v>
      </x:c>
      <x:c r="K18" s="9" t="n">
        <x:f>IF(ISNUMBER(J18),ABS(J18),"")</x:f>
        <x:v>10.33333333333337</x:v>
      </x:c>
      <x:c r="L18" s="9" t="n">
        <x:f>IF(ISNUMBER(J18),J18^2,"")</x:f>
        <x:v>106.77777777777852</x:v>
      </x:c>
      <x:c r="M18" s="2"/>
      <x:c r="O18" s="9" t="n">
        <x:v>8.33333333333333</x:v>
      </x:c>
      <x:c r="P18" s="9" t="n">
        <x:v>4.24575868254305</x:v>
      </x:c>
      <x:c r="Q18" s="9" t="n">
        <x:v>18.6666666666667</x:v>
      </x:c>
      <x:c r="R18" s="9" t="n">
        <x:v>8.33333333333333</x:v>
      </x:c>
      <x:c r="T18" s="9" t="n">
        <x:v>10</x:v>
      </x:c>
      <x:c r="U18" s="9" t="n">
        <x:v>7.20994785361989</x:v>
      </x:c>
      <x:c r="V18" s="9" t="n">
        <x:v>20</x:v>
      </x:c>
      <x:c r="W18" s="9" t="n">
        <x:v>10</x:v>
      </x:c>
    </x:row>
    <x:row r="19" ht="22" customHeight="1">
      <x:c r="A19" s="2" t="str">
        <x:v>250341-02</x:v>
      </x:c>
      <x:c r="B19" s="2" t="str">
        <x:v>Cross-road</x:v>
      </x:c>
      <x:c r="C19" s="9" t="n">
        <x:f>INDEX('Site_Comparison'!$E$2:$E$50,MATCH($A19,'Site_Comparison'!$A$2:$A$50,0))</x:f>
        <x:v>10.6666666666667</x:v>
      </x:c>
      <x:c r="D19" s="9" t="n">
        <x:f>INDEX('Site_Comparison'!$F$2:$F$50,MATCH($A19,'Site_Comparison'!$A$2:$A$50,0))</x:f>
        <x:v>3.12415235779679</x:v>
      </x:c>
      <x:c r="E19" s="9" t="n">
        <x:f>IF(ISBLANK(INDEX('Site_Comparison'!$G$2:$G$50,MATCH($A19,'Site_Comparison'!$A$2:$A$50,0))),"",INDEX('Site_Comparison'!$G$2:$G$50,MATCH($A19,'Site_Comparison'!$A$2:$A$50,0)))</x:f>
        <x:v>2</x:v>
      </x:c>
      <x:c r="F19" s="2" t="n">
        <x:f>IF(INDEX('Site_Comparison'!$P$2:$P$50,MATCH($A19,'Site_Comparison'!$A$2:$A$50,0)),1,0)</x:f>
        <x:v>1</x:v>
      </x:c>
      <x:c r="G19" s="9" t="n">
        <x:f>D19-C19</x:f>
        <x:v>-7.54251430886991</x:v>
      </x:c>
      <x:c r="H19" s="9" t="n">
        <x:f>ABS(G19)</x:f>
        <x:v>7.54251430886991</x:v>
      </x:c>
      <x:c r="I19" s="9" t="n">
        <x:f>G19^2</x:f>
        <x:v>56.88952209950733</x:v>
      </x:c>
      <x:c r="J19" s="9" t="n">
        <x:f>IF(ISNUMBER(E19),E19-C19,"")</x:f>
        <x:v>-8.6666666666667</x:v>
      </x:c>
      <x:c r="K19" s="9" t="n">
        <x:f>IF(ISNUMBER(J19),ABS(J19),"")</x:f>
        <x:v>8.6666666666667</x:v>
      </x:c>
      <x:c r="L19" s="9" t="n">
        <x:f>IF(ISNUMBER(J19),J19^2,"")</x:f>
        <x:v>75.11111111111168</x:v>
      </x:c>
      <x:c r="M19" s="2"/>
      <x:c r="O19" s="9" t="n">
        <x:v>10.6666666666667</x:v>
      </x:c>
      <x:c r="P19" s="9" t="n">
        <x:v>3.12415235779679</x:v>
      </x:c>
      <x:c r="Q19" s="9" t="n">
        <x:v>2</x:v>
      </x:c>
      <x:c r="R19" s="9" t="n">
        <x:v>10.6666666666667</x:v>
      </x:c>
      <x:c r="T19" s="9" t="n">
        <x:v>15.6666666666667</x:v>
      </x:c>
      <x:c r="U19" s="9" t="n">
        <x:v>6.83082850973876</x:v>
      </x:c>
      <x:c r="V19" s="9" t="n">
        <x:v>39</x:v>
      </x:c>
      <x:c r="W19" s="9" t="n">
        <x:v>15.6666666666667</x:v>
      </x:c>
    </x:row>
    <x:row r="20" ht="22" customHeight="1">
      <x:c r="A20" s="2" t="str">
        <x:v>250341-03</x:v>
      </x:c>
      <x:c r="B20" s="2" t="str">
        <x:v>Cross-road</x:v>
      </x:c>
      <x:c r="C20" s="9" t="n">
        <x:f>INDEX('Site_Comparison'!$E$2:$E$50,MATCH($A20,'Site_Comparison'!$A$2:$A$50,0))</x:f>
        <x:v>5.33333333333333</x:v>
      </x:c>
      <x:c r="D20" s="9" t="n">
        <x:f>INDEX('Site_Comparison'!$F$2:$F$50,MATCH($A20,'Site_Comparison'!$A$2:$A$50,0))</x:f>
        <x:v>4.02599004490522</x:v>
      </x:c>
      <x:c r="E20" s="9" t="n">
        <x:f>IF(ISBLANK(INDEX('Site_Comparison'!$G$2:$G$50,MATCH($A20,'Site_Comparison'!$A$2:$A$50,0))),"",INDEX('Site_Comparison'!$G$2:$G$50,MATCH($A20,'Site_Comparison'!$A$2:$A$50,0)))</x:f>
        <x:v>2</x:v>
      </x:c>
      <x:c r="F20" s="2" t="n">
        <x:f>IF(INDEX('Site_Comparison'!$P$2:$P$50,MATCH($A20,'Site_Comparison'!$A$2:$A$50,0)),1,0)</x:f>
        <x:v>1</x:v>
      </x:c>
      <x:c r="G20" s="9" t="n">
        <x:f>D20-C20</x:f>
        <x:v>-1.3073432884281102</x:v>
      </x:c>
      <x:c r="H20" s="9" t="n">
        <x:f>ABS(G20)</x:f>
        <x:v>1.3073432884281102</x:v>
      </x:c>
      <x:c r="I20" s="9" t="n">
        <x:f>G20^2</x:f>
        <x:v>1.7091464737980249</x:v>
      </x:c>
      <x:c r="J20" s="9" t="n">
        <x:f>IF(ISNUMBER(E20),E20-C20,"")</x:f>
        <x:v>-3.3333333333333304</x:v>
      </x:c>
      <x:c r="K20" s="9" t="n">
        <x:f>IF(ISNUMBER(J20),ABS(J20),"")</x:f>
        <x:v>3.3333333333333304</x:v>
      </x:c>
      <x:c r="L20" s="9" t="n">
        <x:f>IF(ISNUMBER(J20),J20^2,"")</x:f>
        <x:v>11.111111111111091</x:v>
      </x:c>
      <x:c r="M20" s="2"/>
      <x:c r="O20" s="9" t="n">
        <x:v>5.33333333333333</x:v>
      </x:c>
      <x:c r="P20" s="9" t="n">
        <x:v>4.02599004490522</x:v>
      </x:c>
      <x:c r="Q20" s="9" t="n">
        <x:v>2</x:v>
      </x:c>
      <x:c r="R20" s="9" t="n">
        <x:v>5.33333333333333</x:v>
      </x:c>
      <x:c r="T20" s="9" t="n">
        <x:v>17.3333333333333</x:v>
      </x:c>
      <x:c r="U20" s="9" t="n">
        <x:v>5.97209393210123</x:v>
      </x:c>
      <x:c r="V20" s="9" t="n">
        <x:v>150</x:v>
      </x:c>
      <x:c r="W20" s="9" t="n">
        <x:v>17.3333333333333</x:v>
      </x:c>
    </x:row>
    <x:row r="21" ht="22" customHeight="1">
      <x:c r="A21" s="2" t="str">
        <x:v>250341-04</x:v>
      </x:c>
      <x:c r="B21" s="2" t="str">
        <x:v>Cross-road</x:v>
      </x:c>
      <x:c r="C21" s="9" t="n">
        <x:f>INDEX('Site_Comparison'!$E$2:$E$50,MATCH($A21,'Site_Comparison'!$A$2:$A$50,0))</x:f>
        <x:v>87</x:v>
      </x:c>
      <x:c r="D21" s="9" t="n">
        <x:f>INDEX('Site_Comparison'!$F$2:$F$50,MATCH($A21,'Site_Comparison'!$A$2:$A$50,0))</x:f>
        <x:v>2.7103845668182</x:v>
      </x:c>
      <x:c r="E21" s="9" t="n">
        <x:f>IF(ISBLANK(INDEX('Site_Comparison'!$G$2:$G$50,MATCH($A21,'Site_Comparison'!$A$2:$A$50,0))),"",INDEX('Site_Comparison'!$G$2:$G$50,MATCH($A21,'Site_Comparison'!$A$2:$A$50,0)))</x:f>
        <x:v>15</x:v>
      </x:c>
      <x:c r="F21" s="2" t="n">
        <x:f>IF(INDEX('Site_Comparison'!$P$2:$P$50,MATCH($A21,'Site_Comparison'!$A$2:$A$50,0)),1,0)</x:f>
        <x:v>1</x:v>
      </x:c>
      <x:c r="G21" s="9" t="n">
        <x:f>D21-C21</x:f>
        <x:v>-84.2896154331818</x:v>
      </x:c>
      <x:c r="H21" s="9" t="n">
        <x:f>ABS(G21)</x:f>
        <x:v>84.2896154331818</x:v>
      </x:c>
      <x:c r="I21" s="9" t="n">
        <x:f>G21^2</x:f>
        <x:v>7104.7392698736785</x:v>
      </x:c>
      <x:c r="J21" s="9" t="n">
        <x:f>IF(ISNUMBER(E21),E21-C21,"")</x:f>
        <x:v>-72</x:v>
      </x:c>
      <x:c r="K21" s="9" t="n">
        <x:f>IF(ISNUMBER(J21),ABS(J21),"")</x:f>
        <x:v>72</x:v>
      </x:c>
      <x:c r="L21" s="9" t="n">
        <x:f>IF(ISNUMBER(J21),J21^2,"")</x:f>
        <x:v>5184</x:v>
      </x:c>
      <x:c r="M21" s="2"/>
      <x:c r="O21" s="9" t="n">
        <x:v>87</x:v>
      </x:c>
      <x:c r="P21" s="9" t="n">
        <x:v>2.7103845668182</x:v>
      </x:c>
      <x:c r="Q21" s="9" t="n">
        <x:v>15</x:v>
      </x:c>
      <x:c r="R21" s="9" t="n">
        <x:v>87</x:v>
      </x:c>
      <x:c r="T21" s="9" t="n">
        <x:v>0.666666666666667</x:v>
      </x:c>
      <x:c r="U21" s="9" t="n">
        <x:v>6.87273556642884</x:v>
      </x:c>
      <x:c r="V21" s="9" t="n">
        <x:v>15</x:v>
      </x:c>
      <x:c r="W21" s="9" t="n">
        <x:v>0.666666666666667</x:v>
      </x:c>
    </x:row>
    <x:row r="22" ht="22" customHeight="1">
      <x:c r="A22" s="2" t="str">
        <x:v>250341-05</x:v>
      </x:c>
      <x:c r="B22" s="2" t="str">
        <x:v>Cross-road</x:v>
      </x:c>
      <x:c r="C22" s="9" t="n">
        <x:f>INDEX('Site_Comparison'!$E$2:$E$50,MATCH($A22,'Site_Comparison'!$A$2:$A$50,0))</x:f>
        <x:v>0.666666666666667</x:v>
      </x:c>
      <x:c r="D22" s="9" t="n">
        <x:f>INDEX('Site_Comparison'!$F$2:$F$50,MATCH($A22,'Site_Comparison'!$A$2:$A$50,0))</x:f>
        <x:v>3.49611325043646</x:v>
      </x:c>
      <x:c r="E22" s="9" t="n">
        <x:f>IF(ISBLANK(INDEX('Site_Comparison'!$G$2:$G$50,MATCH($A22,'Site_Comparison'!$A$2:$A$50,0))),"",INDEX('Site_Comparison'!$G$2:$G$50,MATCH($A22,'Site_Comparison'!$A$2:$A$50,0)))</x:f>
        <x:v>3</x:v>
      </x:c>
      <x:c r="F22" s="2" t="n">
        <x:f>IF(INDEX('Site_Comparison'!$P$2:$P$50,MATCH($A22,'Site_Comparison'!$A$2:$A$50,0)),1,0)</x:f>
        <x:v>1</x:v>
      </x:c>
      <x:c r="G22" s="9" t="n">
        <x:f>D22-C22</x:f>
        <x:v>2.829446583769793</x:v>
      </x:c>
      <x:c r="H22" s="9" t="n">
        <x:f>ABS(G22)</x:f>
        <x:v>2.829446583769793</x:v>
      </x:c>
      <x:c r="I22" s="9" t="n">
        <x:f>G22^2</x:f>
        <x:v>8.005767970406552</x:v>
      </x:c>
      <x:c r="J22" s="9" t="n">
        <x:f>IF(ISNUMBER(E22),E22-C22,"")</x:f>
        <x:v>2.333333333333333</x:v>
      </x:c>
      <x:c r="K22" s="9" t="n">
        <x:f>IF(ISNUMBER(J22),ABS(J22),"")</x:f>
        <x:v>2.333333333333333</x:v>
      </x:c>
      <x:c r="L22" s="9" t="n">
        <x:f>IF(ISNUMBER(J22),J22^2,"")</x:f>
        <x:v>5.444444444444443</x:v>
      </x:c>
      <x:c r="M22" s="2"/>
      <x:c r="O22" s="9" t="n">
        <x:v>0.666666666666667</x:v>
      </x:c>
      <x:c r="P22" s="9" t="n">
        <x:v>3.49611325043646</x:v>
      </x:c>
      <x:c r="Q22" s="9" t="n">
        <x:v>3</x:v>
      </x:c>
      <x:c r="R22" s="9" t="n">
        <x:v>0.666666666666667</x:v>
      </x:c>
      <x:c r="T22" s="9" t="n">
        <x:v>1.33333333333333</x:v>
      </x:c>
      <x:c r="U22" s="9" t="n">
        <x:v>8.67327121508976</x:v>
      </x:c>
      <x:c r="V22" s="9" t="n">
        <x:v>8.83333333333333</x:v>
      </x:c>
      <x:c r="W22" s="9" t="n">
        <x:v>1.33333333333333</x:v>
      </x:c>
    </x:row>
    <x:row r="23" ht="22" customHeight="1">
      <x:c r="A23" s="2" t="str">
        <x:v>250341-06</x:v>
      </x:c>
      <x:c r="B23" s="2" t="str">
        <x:v>Cross-road</x:v>
      </x:c>
      <x:c r="C23" s="9" t="n">
        <x:f>INDEX('Site_Comparison'!$E$2:$E$50,MATCH($A23,'Site_Comparison'!$A$2:$A$50,0))</x:f>
        <x:v>0</x:v>
      </x:c>
      <x:c r="D23" s="9" t="n">
        <x:f>INDEX('Site_Comparison'!$F$2:$F$50,MATCH($A23,'Site_Comparison'!$A$2:$A$50,0))</x:f>
        <x:v>4.7403904808958</x:v>
      </x:c>
      <x:c r="E23" s="9" t="n">
        <x:f>IF(ISBLANK(INDEX('Site_Comparison'!$G$2:$G$50,MATCH($A23,'Site_Comparison'!$A$2:$A$50,0))),"",INDEX('Site_Comparison'!$G$2:$G$50,MATCH($A23,'Site_Comparison'!$A$2:$A$50,0)))</x:f>
        <x:v>7</x:v>
      </x:c>
      <x:c r="F23" s="2" t="n">
        <x:f>IF(INDEX('Site_Comparison'!$P$2:$P$50,MATCH($A23,'Site_Comparison'!$A$2:$A$50,0)),1,0)</x:f>
        <x:v>1</x:v>
      </x:c>
      <x:c r="G23" s="9" t="n">
        <x:f>D23-C23</x:f>
        <x:v>4.7403904808958</x:v>
      </x:c>
      <x:c r="H23" s="9" t="n">
        <x:f>ABS(G23)</x:f>
        <x:v>4.7403904808958</x:v>
      </x:c>
      <x:c r="I23" s="9" t="n">
        <x:f>G23^2</x:f>
        <x:v>22.471301911367515</x:v>
      </x:c>
      <x:c r="J23" s="9" t="n">
        <x:f>IF(ISNUMBER(E23),E23-C23,"")</x:f>
        <x:v>7</x:v>
      </x:c>
      <x:c r="K23" s="9" t="n">
        <x:f>IF(ISNUMBER(J23),ABS(J23),"")</x:f>
        <x:v>7</x:v>
      </x:c>
      <x:c r="L23" s="9" t="n">
        <x:f>IF(ISNUMBER(J23),J23^2,"")</x:f>
        <x:v>49</x:v>
      </x:c>
      <x:c r="M23" s="2"/>
      <x:c r="O23" s="9" t="n">
        <x:v>0</x:v>
      </x:c>
      <x:c r="P23" s="9" t="n">
        <x:v>4.7403904808958</x:v>
      </x:c>
      <x:c r="Q23" s="9" t="n">
        <x:v>7</x:v>
      </x:c>
      <x:c r="R23" s="9" t="n">
        <x:v>0</x:v>
      </x:c>
      <x:c r="T23" s="9" t="n">
        <x:v>28</x:v>
      </x:c>
      <x:c r="U23" s="9" t="n">
        <x:v>12.2059027990662</x:v>
      </x:c>
      <x:c r="V23" s="9" t="n">
        <x:v>39</x:v>
      </x:c>
      <x:c r="W23" s="9" t="n">
        <x:v>28</x:v>
      </x:c>
    </x:row>
    <x:row r="24" ht="22" customHeight="1">
      <x:c r="A24" s="2" t="str">
        <x:v>250341-07</x:v>
      </x:c>
      <x:c r="B24" s="2" t="str">
        <x:v>Cross-road</x:v>
      </x:c>
      <x:c r="C24" s="9" t="n">
        <x:f>INDEX('Site_Comparison'!$E$2:$E$50,MATCH($A24,'Site_Comparison'!$A$2:$A$50,0))</x:f>
        <x:v>2.66666666666667</x:v>
      </x:c>
      <x:c r="D24" s="9" t="n">
        <x:f>INDEX('Site_Comparison'!$F$2:$F$50,MATCH($A24,'Site_Comparison'!$A$2:$A$50,0))</x:f>
        <x:v>7.15050673300123</x:v>
      </x:c>
      <x:c r="E24" s="9" t="n">
        <x:f>IF(ISBLANK(INDEX('Site_Comparison'!$G$2:$G$50,MATCH($A24,'Site_Comparison'!$A$2:$A$50,0))),"",INDEX('Site_Comparison'!$G$2:$G$50,MATCH($A24,'Site_Comparison'!$A$2:$A$50,0)))</x:f>
        <x:v>15</x:v>
      </x:c>
      <x:c r="F24" s="2" t="n">
        <x:f>IF(INDEX('Site_Comparison'!$P$2:$P$50,MATCH($A24,'Site_Comparison'!$A$2:$A$50,0)),1,0)</x:f>
        <x:v>1</x:v>
      </x:c>
      <x:c r="G24" s="9" t="n">
        <x:f>D24-C24</x:f>
        <x:v>4.48384006633456</x:v>
      </x:c>
      <x:c r="H24" s="9" t="n">
        <x:f>ABS(G24)</x:f>
        <x:v>4.48384006633456</x:v>
      </x:c>
      <x:c r="I24" s="9" t="n">
        <x:f>G24^2</x:f>
        <x:v>20.10482174046711</x:v>
      </x:c>
      <x:c r="J24" s="9" t="n">
        <x:f>IF(ISNUMBER(E24),E24-C24,"")</x:f>
        <x:v>12.33333333333333</x:v>
      </x:c>
      <x:c r="K24" s="9" t="n">
        <x:f>IF(ISNUMBER(J24),ABS(J24),"")</x:f>
        <x:v>12.33333333333333</x:v>
      </x:c>
      <x:c r="L24" s="9" t="n">
        <x:f>IF(ISNUMBER(J24),J24^2,"")</x:f>
        <x:v>152.11111111111103</x:v>
      </x:c>
      <x:c r="M24" s="2"/>
      <x:c r="O24" s="9" t="n">
        <x:v>2.66666666666667</x:v>
      </x:c>
      <x:c r="P24" s="9" t="n">
        <x:v>7.15050673300123</x:v>
      </x:c>
      <x:c r="Q24" s="9" t="n">
        <x:v>15</x:v>
      </x:c>
      <x:c r="R24" s="9" t="n">
        <x:v>2.66666666666667</x:v>
      </x:c>
      <x:c r="T24" s="9" t="n">
        <x:v>11.6666666666667</x:v>
      </x:c>
      <x:c r="U24" s="9" t="n">
        <x:v>13.2027163119535</x:v>
      </x:c>
      <x:c r="V24" s="9" t="n">
        <x:v>126</x:v>
      </x:c>
      <x:c r="W24" s="9" t="n">
        <x:v>11.6666666666667</x:v>
      </x:c>
    </x:row>
    <x:row r="25" ht="22" customHeight="1">
      <x:c r="A25" s="2" t="str">
        <x:v>260335-28</x:v>
      </x:c>
      <x:c r="B25" s="2" t="str">
        <x:v>Cross-road</x:v>
      </x:c>
      <x:c r="C25" s="9" t="n">
        <x:f>INDEX('Site_Comparison'!$E$2:$E$50,MATCH($A25,'Site_Comparison'!$A$2:$A$50,0))</x:f>
        <x:v>3.33333333333333</x:v>
      </x:c>
      <x:c r="D25" s="9" t="n">
        <x:f>INDEX('Site_Comparison'!$F$2:$F$50,MATCH($A25,'Site_Comparison'!$A$2:$A$50,0))</x:f>
        <x:v>6.75834584835355</x:v>
      </x:c>
      <x:c r="E25" s="9" t="n">
        <x:f>IF(ISBLANK(INDEX('Site_Comparison'!$G$2:$G$50,MATCH($A25,'Site_Comparison'!$A$2:$A$50,0))),"",INDEX('Site_Comparison'!$G$2:$G$50,MATCH($A25,'Site_Comparison'!$A$2:$A$50,0)))</x:f>
        <x:v>15</x:v>
      </x:c>
      <x:c r="F25" s="2" t="n">
        <x:f>IF(INDEX('Site_Comparison'!$P$2:$P$50,MATCH($A25,'Site_Comparison'!$A$2:$A$50,0)),1,0)</x:f>
        <x:v>1</x:v>
      </x:c>
      <x:c r="G25" s="9" t="n">
        <x:f>D25-C25</x:f>
        <x:v>3.4250125150202204</x:v>
      </x:c>
      <x:c r="H25" s="9" t="n">
        <x:f>ABS(G25)</x:f>
        <x:v>3.4250125150202204</x:v>
      </x:c>
      <x:c r="I25" s="9" t="n">
        <x:f>G25^2</x:f>
        <x:v>11.730710728045135</x:v>
      </x:c>
      <x:c r="J25" s="9" t="n">
        <x:f>IF(ISNUMBER(E25),E25-C25,"")</x:f>
        <x:v>11.66666666666667</x:v>
      </x:c>
      <x:c r="K25" s="9" t="n">
        <x:f>IF(ISNUMBER(J25),ABS(J25),"")</x:f>
        <x:v>11.66666666666667</x:v>
      </x:c>
      <x:c r="L25" s="9" t="n">
        <x:f>IF(ISNUMBER(J25),J25^2,"")</x:f>
        <x:v>136.11111111111117</x:v>
      </x:c>
      <x:c r="M25" s="2"/>
      <x:c r="O25" s="9" t="n">
        <x:v>3.33333333333333</x:v>
      </x:c>
      <x:c r="P25" s="9" t="n">
        <x:v>6.75834584835355</x:v>
      </x:c>
      <x:c r="Q25" s="9" t="n">
        <x:v>15</x:v>
      </x:c>
      <x:c r="R25" s="9" t="n">
        <x:v>3.33333333333333</x:v>
      </x:c>
      <x:c r="T25" s="9" t="n">
        <x:v>10.6666666666667</x:v>
      </x:c>
      <x:c r="U25" s="9" t="n">
        <x:v>8.96871215495587</x:v>
      </x:c>
      <x:c r="V25" s="9" t="n">
        <x:v>5</x:v>
      </x:c>
      <x:c r="W25" s="9" t="n">
        <x:v>10.6666666666667</x:v>
      </x:c>
    </x:row>
    <x:row r="26" ht="22" customHeight="1">
      <x:c r="A26" s="2" t="str">
        <x:v>260335-29</x:v>
      </x:c>
      <x:c r="B26" s="2" t="str">
        <x:v>Cross-road</x:v>
      </x:c>
      <x:c r="C26" s="9" t="n">
        <x:f>INDEX('Site_Comparison'!$E$2:$E$50,MATCH($A26,'Site_Comparison'!$A$2:$A$50,0))</x:f>
        <x:v>9.33333333333333</x:v>
      </x:c>
      <x:c r="D26" s="9" t="n">
        <x:f>INDEX('Site_Comparison'!$F$2:$F$50,MATCH($A26,'Site_Comparison'!$A$2:$A$50,0))</x:f>
        <x:v>5.06639828864138</x:v>
      </x:c>
      <x:c r="E26" s="9" t="n">
        <x:f>IF(ISBLANK(INDEX('Site_Comparison'!$G$2:$G$50,MATCH($A26,'Site_Comparison'!$A$2:$A$50,0))),"",INDEX('Site_Comparison'!$G$2:$G$50,MATCH($A26,'Site_Comparison'!$A$2:$A$50,0)))</x:f>
        <x:v>7</x:v>
      </x:c>
      <x:c r="F26" s="2" t="n">
        <x:f>IF(INDEX('Site_Comparison'!$P$2:$P$50,MATCH($A26,'Site_Comparison'!$A$2:$A$50,0)),1,0)</x:f>
        <x:v>1</x:v>
      </x:c>
      <x:c r="G26" s="9" t="n">
        <x:f>D26-C26</x:f>
        <x:v>-4.266935044691951</x:v>
      </x:c>
      <x:c r="H26" s="9" t="n">
        <x:f>ABS(G26)</x:f>
        <x:v>4.266935044691951</x:v>
      </x:c>
      <x:c r="I26" s="9" t="n">
        <x:f>G26^2</x:f>
        <x:v>18.2067346756203</x:v>
      </x:c>
      <x:c r="J26" s="9" t="n">
        <x:f>IF(ISNUMBER(E26),E26-C26,"")</x:f>
        <x:v>-2.3333333333333304</x:v>
      </x:c>
      <x:c r="K26" s="9" t="n">
        <x:f>IF(ISNUMBER(J26),ABS(J26),"")</x:f>
        <x:v>2.3333333333333304</x:v>
      </x:c>
      <x:c r="L26" s="9" t="n">
        <x:f>IF(ISNUMBER(J26),J26^2,"")</x:f>
        <x:v>5.44444444444443</x:v>
      </x:c>
      <x:c r="M26" s="2"/>
      <x:c r="O26" s="9" t="n">
        <x:v>9.33333333333333</x:v>
      </x:c>
      <x:c r="P26" s="9" t="n">
        <x:v>5.06639828864138</x:v>
      </x:c>
      <x:c r="Q26" s="9" t="n">
        <x:v>7</x:v>
      </x:c>
      <x:c r="R26" s="9" t="n">
        <x:v>9.33333333333333</x:v>
      </x:c>
      <x:c r="T26" s="9" t="n">
        <x:v>1.66666666666667</x:v>
      </x:c>
      <x:c r="U26" s="9" t="n">
        <x:v>12.2059027990662</x:v>
      </x:c>
      <x:c r="V26" s="9" t="n">
        <x:v>30</x:v>
      </x:c>
      <x:c r="W26" s="9" t="n">
        <x:v>1.66666666666667</x:v>
      </x:c>
    </x:row>
    <x:row r="27" ht="22" customHeight="1">
      <x:c r="A27" s="2" t="str">
        <x:v>260335-30</x:v>
      </x:c>
      <x:c r="B27" s="2" t="str">
        <x:v>Cross-road</x:v>
      </x:c>
      <x:c r="C27" s="9" t="n">
        <x:f>INDEX('Site_Comparison'!$E$2:$E$50,MATCH($A27,'Site_Comparison'!$A$2:$A$50,0))</x:f>
        <x:v>5.66666666666667</x:v>
      </x:c>
      <x:c r="D27" s="9" t="n">
        <x:f>INDEX('Site_Comparison'!$F$2:$F$50,MATCH($A27,'Site_Comparison'!$A$2:$A$50,0))</x:f>
        <x:v>7.15050673300123</x:v>
      </x:c>
      <x:c r="E27" s="9" t="n">
        <x:f>IF(ISBLANK(INDEX('Site_Comparison'!$G$2:$G$50,MATCH($A27,'Site_Comparison'!$A$2:$A$50,0))),"",INDEX('Site_Comparison'!$G$2:$G$50,MATCH($A27,'Site_Comparison'!$A$2:$A$50,0)))</x:f>
        <x:v>3</x:v>
      </x:c>
      <x:c r="F27" s="2" t="n">
        <x:f>IF(INDEX('Site_Comparison'!$P$2:$P$50,MATCH($A27,'Site_Comparison'!$A$2:$A$50,0)),1,0)</x:f>
        <x:v>1</x:v>
      </x:c>
      <x:c r="G27" s="9" t="n">
        <x:f>D27-C27</x:f>
        <x:v>1.4838400663345608</x:v>
      </x:c>
      <x:c r="H27" s="9" t="n">
        <x:f>ABS(G27)</x:f>
        <x:v>1.4838400663345608</x:v>
      </x:c>
      <x:c r="I27" s="9" t="n">
        <x:f>G27^2</x:f>
        <x:v>2.201781342459754</x:v>
      </x:c>
      <x:c r="J27" s="9" t="n">
        <x:f>IF(ISNUMBER(E27),E27-C27,"")</x:f>
        <x:v>-2.6666666666666696</x:v>
      </x:c>
      <x:c r="K27" s="9" t="n">
        <x:f>IF(ISNUMBER(J27),ABS(J27),"")</x:f>
        <x:v>2.6666666666666696</x:v>
      </x:c>
      <x:c r="L27" s="9" t="n">
        <x:f>IF(ISNUMBER(J27),J27^2,"")</x:f>
        <x:v>7.111111111111127</x:v>
      </x:c>
      <x:c r="M27" s="2"/>
      <x:c r="O27" s="9" t="n">
        <x:v>5.66666666666667</x:v>
      </x:c>
      <x:c r="P27" s="9" t="n">
        <x:v>7.15050673300123</x:v>
      </x:c>
      <x:c r="Q27" s="9" t="n">
        <x:v>3</x:v>
      </x:c>
      <x:c r="R27" s="9" t="n">
        <x:v>5.66666666666667</x:v>
      </x:c>
      <x:c r="T27" s="9" t="n">
        <x:v>137.333333333333</x:v>
      </x:c>
      <x:c r="U27" s="9" t="n">
        <x:v>11.5887579024493</x:v>
      </x:c>
      <x:c r="V27" s="9" t="n">
        <x:v>11</x:v>
      </x:c>
      <x:c r="W27" s="9" t="n">
        <x:v>137.333333333333</x:v>
      </x:c>
    </x:row>
    <x:row r="28" ht="22" customHeight="1">
      <x:c r="A28" s="2" t="str">
        <x:v>260335-33</x:v>
      </x:c>
      <x:c r="B28" s="2" t="str">
        <x:v>Cross-road</x:v>
      </x:c>
      <x:c r="C28" s="9" t="n">
        <x:f>INDEX('Site_Comparison'!$E$2:$E$50,MATCH($A28,'Site_Comparison'!$A$2:$A$50,0))</x:f>
        <x:v>107.333333333333</x:v>
      </x:c>
      <x:c r="D28" s="9" t="n">
        <x:f>INDEX('Site_Comparison'!$F$2:$F$50,MATCH($A28,'Site_Comparison'!$A$2:$A$50,0))</x:f>
        <x:v>6.18367424131222</x:v>
      </x:c>
      <x:c r="E28" s="9" t="n">
        <x:f>IF(ISBLANK(INDEX('Site_Comparison'!$G$2:$G$50,MATCH($A28,'Site_Comparison'!$A$2:$A$50,0))),"",INDEX('Site_Comparison'!$G$2:$G$50,MATCH($A28,'Site_Comparison'!$A$2:$A$50,0)))</x:f>
        <x:v>7</x:v>
      </x:c>
      <x:c r="F28" s="2" t="n">
        <x:f>IF(INDEX('Site_Comparison'!$P$2:$P$50,MATCH($A28,'Site_Comparison'!$A$2:$A$50,0)),1,0)</x:f>
        <x:v>1</x:v>
      </x:c>
      <x:c r="G28" s="9" t="n">
        <x:f>D28-C28</x:f>
        <x:v>-101.14965909202078</x:v>
      </x:c>
      <x:c r="H28" s="9" t="n">
        <x:f>ABS(G28)</x:f>
        <x:v>101.14965909202078</x:v>
      </x:c>
      <x:c r="I28" s="9" t="n">
        <x:f>G28^2</x:f>
        <x:v>10231.253534432022</x:v>
      </x:c>
      <x:c r="J28" s="9" t="n">
        <x:f>IF(ISNUMBER(E28),E28-C28,"")</x:f>
        <x:v>-100.333333333333</x:v>
      </x:c>
      <x:c r="K28" s="9" t="n">
        <x:f>IF(ISNUMBER(J28),ABS(J28),"")</x:f>
        <x:v>100.333333333333</x:v>
      </x:c>
      <x:c r="L28" s="9" t="n">
        <x:f>IF(ISNUMBER(J28),J28^2,"")</x:f>
        <x:v>10066.777777777712</x:v>
      </x:c>
      <x:c r="M28" s="2"/>
      <x:c r="O28" s="9" t="n">
        <x:v>107.333333333333</x:v>
      </x:c>
      <x:c r="P28" s="9" t="n">
        <x:v>6.18367424131222</x:v>
      </x:c>
      <x:c r="Q28" s="9" t="n">
        <x:v>7</x:v>
      </x:c>
      <x:c r="R28" s="9" t="n">
        <x:v>107.333333333333</x:v>
      </x:c>
      <x:c r="T28" s="9" t="n">
        <x:v>3.66666666666667</x:v>
      </x:c>
      <x:c r="U28" s="9" t="n">
        <x:v>6.93652443789444</x:v>
      </x:c>
      <x:c r="V28" s="9" t="n">
        <x:v>30</x:v>
      </x:c>
      <x:c r="W28" s="9" t="n">
        <x:v>3.66666666666667</x:v>
      </x:c>
    </x:row>
    <x:row r="29" ht="22" customHeight="1">
      <x:c r="A29" s="2" t="str">
        <x:v>260335-34</x:v>
      </x:c>
      <x:c r="B29" s="2" t="str">
        <x:v>Cross-road</x:v>
      </x:c>
      <x:c r="C29" s="9" t="n">
        <x:f>INDEX('Site_Comparison'!$E$2:$E$50,MATCH($A29,'Site_Comparison'!$A$2:$A$50,0))</x:f>
        <x:v>1.66666666666667</x:v>
      </x:c>
      <x:c r="D29" s="9" t="n">
        <x:f>INDEX('Site_Comparison'!$F$2:$F$50,MATCH($A29,'Site_Comparison'!$A$2:$A$50,0))</x:f>
        <x:v>3.43243059482097</x:v>
      </x:c>
      <x:c r="E29" s="9" t="n">
        <x:f>IF(ISBLANK(INDEX('Site_Comparison'!$G$2:$G$50,MATCH($A29,'Site_Comparison'!$A$2:$A$50,0))),"",INDEX('Site_Comparison'!$G$2:$G$50,MATCH($A29,'Site_Comparison'!$A$2:$A$50,0)))</x:f>
        <x:v>3</x:v>
      </x:c>
      <x:c r="F29" s="2" t="n">
        <x:f>IF(INDEX('Site_Comparison'!$P$2:$P$50,MATCH($A29,'Site_Comparison'!$A$2:$A$50,0)),1,0)</x:f>
        <x:v>1</x:v>
      </x:c>
      <x:c r="G29" s="9" t="n">
        <x:f>D29-C29</x:f>
        <x:v>1.7657639281542998</x:v>
      </x:c>
      <x:c r="H29" s="9" t="n">
        <x:f>ABS(G29)</x:f>
        <x:v>1.7657639281542998</x:v>
      </x:c>
      <x:c r="I29" s="9" t="n">
        <x:f>G29^2</x:f>
        <x:v>3.117922249970903</x:v>
      </x:c>
      <x:c r="J29" s="9" t="n">
        <x:f>IF(ISNUMBER(E29),E29-C29,"")</x:f>
        <x:v>1.33333333333333</x:v>
      </x:c>
      <x:c r="K29" s="9" t="n">
        <x:f>IF(ISNUMBER(J29),ABS(J29),"")</x:f>
        <x:v>1.33333333333333</x:v>
      </x:c>
      <x:c r="L29" s="9" t="n">
        <x:f>IF(ISNUMBER(J29),J29^2,"")</x:f>
        <x:v>1.7777777777777688</x:v>
      </x:c>
      <x:c r="M29" s="2"/>
      <x:c r="O29" s="9" t="n">
        <x:v>1.66666666666667</x:v>
      </x:c>
      <x:c r="P29" s="9" t="n">
        <x:v>3.43243059482097</x:v>
      </x:c>
      <x:c r="Q29" s="9" t="n">
        <x:v>3</x:v>
      </x:c>
      <x:c r="R29" s="9" t="n">
        <x:v>1.66666666666667</x:v>
      </x:c>
      <x:c r="T29" s="9" t="n">
        <x:v>126.333333333333</x:v>
      </x:c>
      <x:c r="U29" s="9" t="n">
        <x:v>97.0844411576612</x:v>
      </x:c>
      <x:c r="V29" s="9" t="n">
        <x:v>150</x:v>
      </x:c>
      <x:c r="W29" s="9" t="n">
        <x:v>126.333333333333</x:v>
      </x:c>
    </x:row>
    <x:row r="30" ht="22" customHeight="1">
      <x:c r="A30" s="2" t="str">
        <x:v>260335-35</x:v>
      </x:c>
      <x:c r="B30" s="2" t="str">
        <x:v>Cross-road</x:v>
      </x:c>
      <x:c r="C30" s="9" t="n">
        <x:f>INDEX('Site_Comparison'!$E$2:$E$50,MATCH($A30,'Site_Comparison'!$A$2:$A$50,0))</x:f>
        <x:v>128.666666666667</x:v>
      </x:c>
      <x:c r="D30" s="9" t="n">
        <x:f>INDEX('Site_Comparison'!$F$2:$F$50,MATCH($A30,'Site_Comparison'!$A$2:$A$50,0))</x:f>
        <x:v>48.7894130963157</x:v>
      </x:c>
      <x:c r="E30" s="9" t="n">
        <x:f>IF(ISBLANK(INDEX('Site_Comparison'!$G$2:$G$50,MATCH($A30,'Site_Comparison'!$A$2:$A$50,0))),"",INDEX('Site_Comparison'!$G$2:$G$50,MATCH($A30,'Site_Comparison'!$A$2:$A$50,0)))</x:f>
        <x:v>30.3333333333333</x:v>
      </x:c>
      <x:c r="F30" s="2" t="n">
        <x:f>IF(INDEX('Site_Comparison'!$P$2:$P$50,MATCH($A30,'Site_Comparison'!$A$2:$A$50,0)),1,0)</x:f>
        <x:v>1</x:v>
      </x:c>
      <x:c r="G30" s="9" t="n">
        <x:f>D30-C30</x:f>
        <x:v>-79.8772535703513</x:v>
      </x:c>
      <x:c r="H30" s="9" t="n">
        <x:f>ABS(G30)</x:f>
        <x:v>79.8772535703513</x:v>
      </x:c>
      <x:c r="I30" s="9" t="n">
        <x:f>G30^2</x:f>
        <x:v>6380.375637942199</x:v>
      </x:c>
      <x:c r="J30" s="9" t="n">
        <x:f>IF(ISNUMBER(E30),E30-C30,"")</x:f>
        <x:v>-98.3333333333337</x:v>
      </x:c>
      <x:c r="K30" s="9" t="n">
        <x:f>IF(ISNUMBER(J30),ABS(J30),"")</x:f>
        <x:v>98.3333333333337</x:v>
      </x:c>
      <x:c r="L30" s="9" t="n">
        <x:f>IF(ISNUMBER(J30),J30^2,"")</x:f>
        <x:v>9669.444444444516</x:v>
      </x:c>
      <x:c r="M30" s="2"/>
      <x:c r="O30" s="9" t="n">
        <x:v>128.666666666667</x:v>
      </x:c>
      <x:c r="P30" s="9" t="n">
        <x:v>48.7894130963157</x:v>
      </x:c>
      <x:c r="Q30" s="9" t="n">
        <x:v>30.3333333333333</x:v>
      </x:c>
      <x:c r="R30" s="9" t="n">
        <x:v>128.666666666667</x:v>
      </x:c>
      <x:c r="T30" s="9" t="n">
        <x:v>37.3333333333333</x:v>
      </x:c>
      <x:c r="U30" s="9" t="n">
        <x:v>16.4927830171191</x:v>
      </x:c>
      <x:c r="V30" s="9" t="n">
        <x:v>18</x:v>
      </x:c>
      <x:c r="W30" s="9" t="n">
        <x:v>37.3333333333333</x:v>
      </x:c>
    </x:row>
    <x:row r="31" ht="22" customHeight="1">
      <x:c r="A31" s="2" t="str">
        <x:v>260335-36</x:v>
      </x:c>
      <x:c r="B31" s="2" t="str">
        <x:v>Cross-road</x:v>
      </x:c>
      <x:c r="C31" s="9" t="n">
        <x:f>INDEX('Site_Comparison'!$E$2:$E$50,MATCH($A31,'Site_Comparison'!$A$2:$A$50,0))</x:f>
        <x:v>18.6666666666667</x:v>
      </x:c>
      <x:c r="D31" s="9" t="n">
        <x:f>INDEX('Site_Comparison'!$F$2:$F$50,MATCH($A31,'Site_Comparison'!$A$2:$A$50,0))</x:f>
        <x:v>7.68675409190811</x:v>
      </x:c>
      <x:c r="E31" s="9" t="n">
        <x:f>IF(ISBLANK(INDEX('Site_Comparison'!$G$2:$G$50,MATCH($A31,'Site_Comparison'!$A$2:$A$50,0))),"",INDEX('Site_Comparison'!$G$2:$G$50,MATCH($A31,'Site_Comparison'!$A$2:$A$50,0)))</x:f>
        <x:v>3</x:v>
      </x:c>
      <x:c r="F31" s="2" t="n">
        <x:f>IF(INDEX('Site_Comparison'!$P$2:$P$50,MATCH($A31,'Site_Comparison'!$A$2:$A$50,0)),1,0)</x:f>
        <x:v>1</x:v>
      </x:c>
      <x:c r="G31" s="9" t="n">
        <x:f>D31-C31</x:f>
        <x:v>-10.97991257475859</x:v>
      </x:c>
      <x:c r="H31" s="9" t="n">
        <x:f>ABS(G31)</x:f>
        <x:v>10.97991257475859</x:v>
      </x:c>
      <x:c r="I31" s="9" t="n">
        <x:f>G31^2</x:f>
        <x:v>120.5584801493418</x:v>
      </x:c>
      <x:c r="J31" s="9" t="n">
        <x:f>IF(ISNUMBER(E31),E31-C31,"")</x:f>
        <x:v>-15.6666666666667</x:v>
      </x:c>
      <x:c r="K31" s="9" t="n">
        <x:f>IF(ISNUMBER(J31),ABS(J31),"")</x:f>
        <x:v>15.6666666666667</x:v>
      </x:c>
      <x:c r="L31" s="9" t="n">
        <x:f>IF(ISNUMBER(J31),J31^2,"")</x:f>
        <x:v>245.44444444444548</x:v>
      </x:c>
      <x:c r="M31" s="2"/>
      <x:c r="O31" s="9" t="n">
        <x:v>18.6666666666667</x:v>
      </x:c>
      <x:c r="P31" s="9" t="n">
        <x:v>7.68675409190811</x:v>
      </x:c>
      <x:c r="Q31" s="9" t="n">
        <x:v>3</x:v>
      </x:c>
      <x:c r="R31" s="9" t="n">
        <x:v>18.6666666666667</x:v>
      </x:c>
      <x:c r="T31" s="9" t="n">
        <x:v>24</x:v>
      </x:c>
      <x:c r="U31" s="9" t="n">
        <x:v>12.2059027990662</x:v>
      </x:c>
      <x:c r="V31" s="9" t="n">
        <x:v>114</x:v>
      </x:c>
      <x:c r="W31" s="9" t="n">
        <x:v>24</x:v>
      </x:c>
    </x:row>
    <x:row r="32" ht="22" customHeight="1">
      <x:c r="A32" s="2" t="str">
        <x:v>260335-37</x:v>
      </x:c>
      <x:c r="B32" s="2" t="str">
        <x:v>Cross-road</x:v>
      </x:c>
      <x:c r="C32" s="9" t="n">
        <x:f>INDEX('Site_Comparison'!$E$2:$E$50,MATCH($A32,'Site_Comparison'!$A$2:$A$50,0))</x:f>
        <x:v>10</x:v>
      </x:c>
      <x:c r="D32" s="9" t="n">
        <x:f>INDEX('Site_Comparison'!$F$2:$F$50,MATCH($A32,'Site_Comparison'!$A$2:$A$50,0))</x:f>
        <x:v>7.15050673300123</x:v>
      </x:c>
      <x:c r="E32" s="9" t="n">
        <x:f>IF(ISBLANK(INDEX('Site_Comparison'!$G$2:$G$50,MATCH($A32,'Site_Comparison'!$A$2:$A$50,0))),"",INDEX('Site_Comparison'!$G$2:$G$50,MATCH($A32,'Site_Comparison'!$A$2:$A$50,0)))</x:f>
        <x:v>20.75</x:v>
      </x:c>
      <x:c r="F32" s="2" t="n">
        <x:f>IF(INDEX('Site_Comparison'!$P$2:$P$50,MATCH($A32,'Site_Comparison'!$A$2:$A$50,0)),1,0)</x:f>
        <x:v>1</x:v>
      </x:c>
      <x:c r="G32" s="9" t="n">
        <x:f>D32-C32</x:f>
        <x:v>-2.8494932669987696</x:v>
      </x:c>
      <x:c r="H32" s="9" t="n">
        <x:f>ABS(G32)</x:f>
        <x:v>2.8494932669987696</x:v>
      </x:c>
      <x:c r="I32" s="9" t="n">
        <x:f>G32^2</x:f>
        <x:v>8.119611878671321</x:v>
      </x:c>
      <x:c r="J32" s="9" t="n">
        <x:f>IF(ISNUMBER(E32),E32-C32,"")</x:f>
        <x:v>10.75</x:v>
      </x:c>
      <x:c r="K32" s="9" t="n">
        <x:f>IF(ISNUMBER(J32),ABS(J32),"")</x:f>
        <x:v>10.75</x:v>
      </x:c>
      <x:c r="L32" s="9" t="n">
        <x:f>IF(ISNUMBER(J32),J32^2,"")</x:f>
        <x:v>115.5625</x:v>
      </x:c>
      <x:c r="M32" s="2"/>
      <x:c r="O32" s="9" t="n">
        <x:v>10</x:v>
      </x:c>
      <x:c r="P32" s="9" t="n">
        <x:v>7.15050673300123</x:v>
      </x:c>
      <x:c r="Q32" s="9" t="n">
        <x:v>20.75</x:v>
      </x:c>
      <x:c r="R32" s="9" t="n">
        <x:v>10</x:v>
      </x:c>
      <x:c r="T32" s="9" t="n">
        <x:v>14.3333333333333</x:v>
      </x:c>
      <x:c r="U32" s="9" t="n">
        <x:v>13.2027163119535</x:v>
      </x:c>
      <x:c r="V32" s="9" t="n">
        <x:v>11</x:v>
      </x:c>
      <x:c r="W32" s="9" t="n">
        <x:v>14.3333333333333</x:v>
      </x:c>
    </x:row>
    <x:row r="33" ht="22" customHeight="1">
      <x:c r="A33" s="2" t="str">
        <x:v>260335-38</x:v>
      </x:c>
      <x:c r="B33" s="2" t="str">
        <x:v>Cross-road</x:v>
      </x:c>
      <x:c r="C33" s="9" t="n">
        <x:f>INDEX('Site_Comparison'!$E$2:$E$50,MATCH($A33,'Site_Comparison'!$A$2:$A$50,0))</x:f>
        <x:v>4.33333333333333</x:v>
      </x:c>
      <x:c r="D33" s="9" t="n">
        <x:f>INDEX('Site_Comparison'!$F$2:$F$50,MATCH($A33,'Site_Comparison'!$A$2:$A$50,0))</x:f>
        <x:v>23.8884798125594</x:v>
      </x:c>
      <x:c r="E33" s="9" t="n">
        <x:f>IF(ISBLANK(INDEX('Site_Comparison'!$G$2:$G$50,MATCH($A33,'Site_Comparison'!$A$2:$A$50,0))),"",INDEX('Site_Comparison'!$G$2:$G$50,MATCH($A33,'Site_Comparison'!$A$2:$A$50,0)))</x:f>
        <x:v>26.5</x:v>
      </x:c>
      <x:c r="F33" s="2" t="n">
        <x:f>IF(INDEX('Site_Comparison'!$P$2:$P$50,MATCH($A33,'Site_Comparison'!$A$2:$A$50,0)),1,0)</x:f>
        <x:v>1</x:v>
      </x:c>
      <x:c r="G33" s="9" t="n">
        <x:f>D33-C33</x:f>
        <x:v>19.555146479226067</x:v>
      </x:c>
      <x:c r="H33" s="9" t="n">
        <x:f>ABS(G33)</x:f>
        <x:v>19.555146479226067</x:v>
      </x:c>
      <x:c r="I33" s="9" t="n">
        <x:f>G33^2</x:f>
        <x:v>382.40375382398764</x:v>
      </x:c>
      <x:c r="J33" s="9" t="n">
        <x:f>IF(ISNUMBER(E33),E33-C33,"")</x:f>
        <x:v>22.16666666666667</x:v>
      </x:c>
      <x:c r="K33" s="9" t="n">
        <x:f>IF(ISNUMBER(J33),ABS(J33),"")</x:f>
        <x:v>22.16666666666667</x:v>
      </x:c>
      <x:c r="L33" s="9" t="n">
        <x:f>IF(ISNUMBER(J33),J33^2,"")</x:f>
        <x:v>491.3611111111113</x:v>
      </x:c>
      <x:c r="M33" s="2"/>
      <x:c r="O33" s="9" t="n">
        <x:v>4.33333333333333</x:v>
      </x:c>
      <x:c r="P33" s="9" t="n">
        <x:v>23.8884798125594</x:v>
      </x:c>
      <x:c r="Q33" s="9" t="n">
        <x:v>26.5</x:v>
      </x:c>
      <x:c r="R33" s="9" t="n">
        <x:v>4.33333333333333</x:v>
      </x:c>
      <x:c r="T33" s="9" t="n">
        <x:v>14.3333333333333</x:v>
      </x:c>
      <x:c r="U33" s="9" t="n">
        <x:v>15.4039406574882</x:v>
      </x:c>
      <x:c r="V33" s="9" t="n">
        <x:v>110</x:v>
      </x:c>
      <x:c r="W33" s="9" t="n">
        <x:v>14.3333333333333</x:v>
      </x:c>
    </x:row>
    <x:row r="34" ht="22" customHeight="1">
      <x:c r="A34" s="2" t="str">
        <x:v>260335-39</x:v>
      </x:c>
      <x:c r="B34" s="2" t="str">
        <x:v>Cross-road</x:v>
      </x:c>
      <x:c r="C34" s="9" t="n">
        <x:f>INDEX('Site_Comparison'!$E$2:$E$50,MATCH($A34,'Site_Comparison'!$A$2:$A$50,0))</x:f>
        <x:v>3</x:v>
      </x:c>
      <x:c r="D34" s="9" t="n">
        <x:f>INDEX('Site_Comparison'!$F$2:$F$50,MATCH($A34,'Site_Comparison'!$A$2:$A$50,0))</x:f>
        <x:v>6.75834584835355</x:v>
      </x:c>
      <x:c r="E34" s="9" t="n">
        <x:f>IF(ISBLANK(INDEX('Site_Comparison'!$G$2:$G$50,MATCH($A34,'Site_Comparison'!$A$2:$A$50,0))),"",INDEX('Site_Comparison'!$G$2:$G$50,MATCH($A34,'Site_Comparison'!$A$2:$A$50,0)))</x:f>
        <x:v>3</x:v>
      </x:c>
      <x:c r="F34" s="2" t="n">
        <x:f>IF(INDEX('Site_Comparison'!$P$2:$P$50,MATCH($A34,'Site_Comparison'!$A$2:$A$50,0)),1,0)</x:f>
        <x:v>1</x:v>
      </x:c>
      <x:c r="G34" s="9" t="n">
        <x:f>D34-C34</x:f>
        <x:v>3.7583458483535503</x:v>
      </x:c>
      <x:c r="H34" s="9" t="n">
        <x:f>ABS(G34)</x:f>
        <x:v>3.7583458483535503</x:v>
      </x:c>
      <x:c r="I34" s="9" t="n">
        <x:f>G34^2</x:f>
        <x:v>14.125163515836368</x:v>
      </x:c>
      <x:c r="J34" s="9" t="n">
        <x:f>IF(ISNUMBER(E34),E34-C34,"")</x:f>
        <x:v>0</x:v>
      </x:c>
      <x:c r="K34" s="9" t="n">
        <x:f>IF(ISNUMBER(J34),ABS(J34),"")</x:f>
        <x:v>0</x:v>
      </x:c>
      <x:c r="L34" s="9" t="n">
        <x:f>IF(ISNUMBER(J34),J34^2,"")</x:f>
        <x:v>0</x:v>
      </x:c>
      <x:c r="M34" s="2"/>
      <x:c r="O34" s="9" t="n">
        <x:v>3</x:v>
      </x:c>
      <x:c r="P34" s="9" t="n">
        <x:v>6.75834584835355</x:v>
      </x:c>
      <x:c r="Q34" s="9" t="n">
        <x:v>3</x:v>
      </x:c>
      <x:c r="R34" s="9" t="n">
        <x:v>3</x:v>
      </x:c>
      <x:c r="T34" s="9" t="n">
        <x:v>12</x:v>
      </x:c>
      <x:c r="U34" s="9" t="n">
        <x:v>9.57422478714234</x:v>
      </x:c>
      <x:c r="V34" s="9" t="n">
        <x:v>26</x:v>
      </x:c>
      <x:c r="W34" s="9" t="n">
        <x:v>12</x:v>
      </x:c>
    </x:row>
    <x:row r="35" ht="22" customHeight="1">
      <x:c r="A35" s="2" t="str">
        <x:v>260335-41</x:v>
      </x:c>
      <x:c r="B35" s="2" t="str">
        <x:v>Cross-road</x:v>
      </x:c>
      <x:c r="C35" s="9" t="n">
        <x:f>INDEX('Site_Comparison'!$E$2:$E$50,MATCH($A35,'Site_Comparison'!$A$2:$A$50,0))</x:f>
        <x:v>7.33333333333333</x:v>
      </x:c>
      <x:c r="D35" s="9" t="n">
        <x:f>INDEX('Site_Comparison'!$F$2:$F$50,MATCH($A35,'Site_Comparison'!$A$2:$A$50,0))</x:f>
        <x:v>9.77133095840446</x:v>
      </x:c>
      <x:c r="E35" s="9" t="n">
        <x:f>IF(ISBLANK(INDEX('Site_Comparison'!$G$2:$G$50,MATCH($A35,'Site_Comparison'!$A$2:$A$50,0))),"",INDEX('Site_Comparison'!$G$2:$G$50,MATCH($A35,'Site_Comparison'!$A$2:$A$50,0)))</x:f>
        <x:v>11</x:v>
      </x:c>
      <x:c r="F35" s="2" t="n">
        <x:f>IF(INDEX('Site_Comparison'!$P$2:$P$50,MATCH($A35,'Site_Comparison'!$A$2:$A$50,0)),1,0)</x:f>
        <x:v>1</x:v>
      </x:c>
      <x:c r="G35" s="9" t="n">
        <x:f>D35-C35</x:f>
        <x:v>2.43799762507113</x:v>
      </x:c>
      <x:c r="H35" s="9" t="n">
        <x:f>ABS(G35)</x:f>
        <x:v>2.43799762507113</x:v>
      </x:c>
      <x:c r="I35" s="9" t="n">
        <x:f>G35^2</x:f>
        <x:v>5.943832419852471</x:v>
      </x:c>
      <x:c r="J35" s="9" t="n">
        <x:f>IF(ISNUMBER(E35),E35-C35,"")</x:f>
        <x:v>3.6666666666666696</x:v>
      </x:c>
      <x:c r="K35" s="9" t="n">
        <x:f>IF(ISNUMBER(J35),ABS(J35),"")</x:f>
        <x:v>3.6666666666666696</x:v>
      </x:c>
      <x:c r="L35" s="9" t="n">
        <x:f>IF(ISNUMBER(J35),J35^2,"")</x:f>
        <x:v>13.444444444444466</x:v>
      </x:c>
      <x:c r="M35" s="2"/>
      <x:c r="O35" s="9" t="n">
        <x:v>7.33333333333333</x:v>
      </x:c>
      <x:c r="P35" s="9" t="n">
        <x:v>9.77133095840446</x:v>
      </x:c>
      <x:c r="Q35" s="9" t="n">
        <x:v>11</x:v>
      </x:c>
      <x:c r="R35" s="9" t="n">
        <x:v>7.33333333333333</x:v>
      </x:c>
      <x:c r="T35" s="9" t="n">
        <x:v>36</x:v>
      </x:c>
      <x:c r="U35" s="9" t="n">
        <x:v>52.9386676042684</x:v>
      </x:c>
      <x:c r="V35" s="9" t="n">
        <x:v>126</x:v>
      </x:c>
      <x:c r="W35" s="9" t="n">
        <x:v>36</x:v>
      </x:c>
    </x:row>
    <x:row r="36" ht="22" customHeight="1">
      <x:c r="A36" s="2" t="str">
        <x:v>260335-42</x:v>
      </x:c>
      <x:c r="B36" s="2" t="str">
        <x:v>Cross-road</x:v>
      </x:c>
      <x:c r="C36" s="9" t="n">
        <x:f>INDEX('Site_Comparison'!$E$2:$E$50,MATCH($A36,'Site_Comparison'!$A$2:$A$50,0))</x:f>
        <x:v>3.33333333333333</x:v>
      </x:c>
      <x:c r="D36" s="9" t="n">
        <x:f>INDEX('Site_Comparison'!$F$2:$F$50,MATCH($A36,'Site_Comparison'!$A$2:$A$50,0))</x:f>
        <x:v>4.90613253917071</x:v>
      </x:c>
      <x:c r="E36" s="9" t="n">
        <x:f>IF(ISBLANK(INDEX('Site_Comparison'!$G$2:$G$50,MATCH($A36,'Site_Comparison'!$A$2:$A$50,0))),"",INDEX('Site_Comparison'!$G$2:$G$50,MATCH($A36,'Site_Comparison'!$A$2:$A$50,0)))</x:f>
        <x:v>3</x:v>
      </x:c>
      <x:c r="F36" s="2" t="n">
        <x:f>IF(INDEX('Site_Comparison'!$P$2:$P$50,MATCH($A36,'Site_Comparison'!$A$2:$A$50,0)),1,0)</x:f>
        <x:v>1</x:v>
      </x:c>
      <x:c r="G36" s="9" t="n">
        <x:f>D36-C36</x:f>
        <x:v>1.5727992058373803</x:v>
      </x:c>
      <x:c r="H36" s="9" t="n">
        <x:f>ABS(G36)</x:f>
        <x:v>1.5727992058373803</x:v>
      </x:c>
      <x:c r="I36" s="9" t="n">
        <x:f>G36^2</x:f>
        <x:v>2.473697341882694</x:v>
      </x:c>
      <x:c r="J36" s="9" t="n">
        <x:f>IF(ISNUMBER(E36),E36-C36,"")</x:f>
        <x:v>-0.33333333333332993</x:v>
      </x:c>
      <x:c r="K36" s="9" t="n">
        <x:f>IF(ISNUMBER(J36),ABS(J36),"")</x:f>
        <x:v>0.33333333333332993</x:v>
      </x:c>
      <x:c r="L36" s="9" t="n">
        <x:f>IF(ISNUMBER(J36),J36^2,"")</x:f>
        <x:v>0.11111111111110884</x:v>
      </x:c>
      <x:c r="M36" s="2"/>
      <x:c r="O36" s="9" t="n">
        <x:v>3.33333333333333</x:v>
      </x:c>
      <x:c r="P36" s="9" t="n">
        <x:v>4.90613253917071</x:v>
      </x:c>
      <x:c r="Q36" s="9" t="n">
        <x:v>3</x:v>
      </x:c>
      <x:c r="R36" s="9" t="n">
        <x:v>3.33333333333333</x:v>
      </x:c>
      <x:c r="T36" s="9" t="n">
        <x:v>3</x:v>
      </x:c>
      <x:c r="U36" s="9" t="n">
        <x:v>6.93652443789444</x:v>
      </x:c>
      <x:c r="V36" s="9" t="n">
        <x:v>30</x:v>
      </x:c>
      <x:c r="W36" s="9" t="n">
        <x:v>3</x:v>
      </x:c>
    </x:row>
    <x:row r="37" ht="22" customHeight="1">
      <x:c r="A37" s="2" t="str">
        <x:v>260335-43</x:v>
      </x:c>
      <x:c r="B37" s="2" t="str">
        <x:v>Cross-road</x:v>
      </x:c>
      <x:c r="C37" s="9" t="n">
        <x:f>INDEX('Site_Comparison'!$E$2:$E$50,MATCH($A37,'Site_Comparison'!$A$2:$A$50,0))</x:f>
        <x:v>32</x:v>
      </x:c>
      <x:c r="D37" s="9" t="n">
        <x:f>INDEX('Site_Comparison'!$F$2:$F$50,MATCH($A37,'Site_Comparison'!$A$2:$A$50,0))</x:f>
        <x:v>28.5408023629786</x:v>
      </x:c>
      <x:c r="E37" s="9" t="n">
        <x:f>IF(ISBLANK(INDEX('Site_Comparison'!$G$2:$G$50,MATCH($A37,'Site_Comparison'!$A$2:$A$50,0))),"",INDEX('Site_Comparison'!$G$2:$G$50,MATCH($A37,'Site_Comparison'!$A$2:$A$50,0)))</x:f>
        <x:v>22.6666666666667</x:v>
      </x:c>
      <x:c r="F37" s="2" t="n">
        <x:f>IF(INDEX('Site_Comparison'!$P$2:$P$50,MATCH($A37,'Site_Comparison'!$A$2:$A$50,0)),1,0)</x:f>
        <x:v>1</x:v>
      </x:c>
      <x:c r="G37" s="9" t="n">
        <x:f>D37-C37</x:f>
        <x:v>-3.4591976370214006</x:v>
      </x:c>
      <x:c r="H37" s="9" t="n">
        <x:f>ABS(G37)</x:f>
        <x:v>3.4591976370214006</x:v>
      </x:c>
      <x:c r="I37" s="9" t="n">
        <x:f>G37^2</x:f>
        <x:v>11.966048291974442</x:v>
      </x:c>
      <x:c r="J37" s="9" t="n">
        <x:f>IF(ISNUMBER(E37),E37-C37,"")</x:f>
        <x:v>-9.3333333333333</x:v>
      </x:c>
      <x:c r="K37" s="9" t="n">
        <x:f>IF(ISNUMBER(J37),ABS(J37),"")</x:f>
        <x:v>9.3333333333333</x:v>
      </x:c>
      <x:c r="L37" s="9" t="n">
        <x:f>IF(ISNUMBER(J37),J37^2,"")</x:f>
        <x:v>87.11111111111049</x:v>
      </x:c>
      <x:c r="M37" s="2"/>
      <x:c r="O37" s="9" t="n">
        <x:v>32</x:v>
      </x:c>
      <x:c r="P37" s="9" t="n">
        <x:v>28.5408023629786</x:v>
      </x:c>
      <x:c r="Q37" s="9" t="n">
        <x:v>22.6666666666667</x:v>
      </x:c>
      <x:c r="R37" s="9" t="n">
        <x:v>32</x:v>
      </x:c>
      <x:c r="T37" s="9" t="n">
        <x:v>4.66666666666667</x:v>
      </x:c>
      <x:c r="U37" s="9" t="n">
        <x:v>9.57422478714234</x:v>
      </x:c>
      <x:c r="V37" s="9" t="n">
        <x:v>76</x:v>
      </x:c>
      <x:c r="W37" s="9" t="n">
        <x:v>4.66666666666667</x:v>
      </x:c>
    </x:row>
    <x:row r="38" ht="22" customHeight="1">
      <x:c r="A38" s="2" t="str">
        <x:v>260335-44</x:v>
      </x:c>
      <x:c r="B38" s="2" t="str">
        <x:v>Cross-road</x:v>
      </x:c>
      <x:c r="C38" s="9" t="n">
        <x:f>INDEX('Site_Comparison'!$E$2:$E$50,MATCH($A38,'Site_Comparison'!$A$2:$A$50,0))</x:f>
        <x:v>1</x:v>
      </x:c>
      <x:c r="D38" s="9" t="n">
        <x:f>INDEX('Site_Comparison'!$F$2:$F$50,MATCH($A38,'Site_Comparison'!$A$2:$A$50,0))</x:f>
        <x:v>3.43243059482097</x:v>
      </x:c>
      <x:c r="E38" s="9" t="n">
        <x:f>IF(ISBLANK(INDEX('Site_Comparison'!$G$2:$G$50,MATCH($A38,'Site_Comparison'!$A$2:$A$50,0))),"",INDEX('Site_Comparison'!$G$2:$G$50,MATCH($A38,'Site_Comparison'!$A$2:$A$50,0)))</x:f>
        <x:v>3</x:v>
      </x:c>
      <x:c r="F38" s="2" t="n">
        <x:f>IF(INDEX('Site_Comparison'!$P$2:$P$50,MATCH($A38,'Site_Comparison'!$A$2:$A$50,0)),1,0)</x:f>
        <x:v>1</x:v>
      </x:c>
      <x:c r="G38" s="9" t="n">
        <x:f>D38-C38</x:f>
        <x:v>2.43243059482097</x:v>
      </x:c>
      <x:c r="H38" s="9" t="n">
        <x:f>ABS(G38)</x:f>
        <x:v>2.43243059482097</x:v>
      </x:c>
      <x:c r="I38" s="9" t="n">
        <x:f>G38^2</x:f>
        <x:v>5.916718598621097</x:v>
      </x:c>
      <x:c r="J38" s="9" t="n">
        <x:f>IF(ISNUMBER(E38),E38-C38,"")</x:f>
        <x:v>2</x:v>
      </x:c>
      <x:c r="K38" s="9" t="n">
        <x:f>IF(ISNUMBER(J38),ABS(J38),"")</x:f>
        <x:v>2</x:v>
      </x:c>
      <x:c r="L38" s="9" t="n">
        <x:f>IF(ISNUMBER(J38),J38^2,"")</x:f>
        <x:v>4</x:v>
      </x:c>
      <x:c r="M38" s="2"/>
      <x:c r="O38" s="9" t="n">
        <x:v>1</x:v>
      </x:c>
      <x:c r="P38" s="9" t="n">
        <x:v>3.43243059482097</x:v>
      </x:c>
      <x:c r="Q38" s="9" t="n">
        <x:v>3</x:v>
      </x:c>
      <x:c r="R38" s="9" t="n">
        <x:v>1</x:v>
      </x:c>
      <x:c r="T38" s="9" t="n">
        <x:v>9.66666666666667</x:v>
      </x:c>
      <x:c r="U38" s="9" t="n">
        <x:v>12.2059027990662</x:v>
      </x:c>
      <x:c r="V38" s="9" t="n">
        <x:v>22</x:v>
      </x:c>
      <x:c r="W38" s="9" t="n">
        <x:v>9.66666666666667</x:v>
      </x:c>
    </x:row>
    <x:row r="39" ht="22" customHeight="1">
      <x:c r="A39" s="2" t="str">
        <x:v>260335-45</x:v>
      </x:c>
      <x:c r="B39" s="2" t="str">
        <x:v>Cross-road</x:v>
      </x:c>
      <x:c r="C39" s="9" t="n">
        <x:f>INDEX('Site_Comparison'!$E$2:$E$50,MATCH($A39,'Site_Comparison'!$A$2:$A$50,0))</x:f>
        <x:v>11.3333333333333</x:v>
      </x:c>
      <x:c r="D39" s="9" t="n">
        <x:f>INDEX('Site_Comparison'!$F$2:$F$50,MATCH($A39,'Site_Comparison'!$A$2:$A$50,0))</x:f>
        <x:v>4.90613253917071</x:v>
      </x:c>
      <x:c r="E39" s="9" t="n">
        <x:f>IF(ISBLANK(INDEX('Site_Comparison'!$G$2:$G$50,MATCH($A39,'Site_Comparison'!$A$2:$A$50,0))),"",INDEX('Site_Comparison'!$G$2:$G$50,MATCH($A39,'Site_Comparison'!$A$2:$A$50,0)))</x:f>
        <x:v>15</x:v>
      </x:c>
      <x:c r="F39" s="2" t="n">
        <x:f>IF(INDEX('Site_Comparison'!$P$2:$P$50,MATCH($A39,'Site_Comparison'!$A$2:$A$50,0)),1,0)</x:f>
        <x:v>1</x:v>
      </x:c>
      <x:c r="G39" s="9" t="n">
        <x:f>D39-C39</x:f>
        <x:v>-6.42720079416259</x:v>
      </x:c>
      <x:c r="H39" s="9" t="n">
        <x:f>ABS(G39)</x:f>
        <x:v>6.42720079416259</x:v>
      </x:c>
      <x:c r="I39" s="9" t="n">
        <x:f>G39^2</x:f>
        <x:v>41.30891004848423</x:v>
      </x:c>
      <x:c r="J39" s="9" t="n">
        <x:f>IF(ISNUMBER(E39),E39-C39,"")</x:f>
        <x:v>3.6666666666667</x:v>
      </x:c>
      <x:c r="K39" s="9" t="n">
        <x:f>IF(ISNUMBER(J39),ABS(J39),"")</x:f>
        <x:v>3.6666666666667</x:v>
      </x:c>
      <x:c r="L39" s="9" t="n">
        <x:f>IF(ISNUMBER(J39),J39^2,"")</x:f>
        <x:v>13.444444444444688</x:v>
      </x:c>
      <x:c r="M39" s="2"/>
      <x:c r="O39" s="9" t="n">
        <x:v>11.3333333333333</x:v>
      </x:c>
      <x:c r="P39" s="9" t="n">
        <x:v>4.90613253917071</x:v>
      </x:c>
      <x:c r="Q39" s="9" t="n">
        <x:v>15</x:v>
      </x:c>
      <x:c r="R39" s="9" t="n">
        <x:v>11.3333333333333</x:v>
      </x:c>
      <x:c r="T39" s="9" t="n">
        <x:v>11.6666666666667</x:v>
      </x:c>
      <x:c r="U39" s="9" t="n">
        <x:v>60.108393203724</x:v>
      </x:c>
      <x:c r="V39" s="9" t="n">
        <x:v>76</x:v>
      </x:c>
      <x:c r="W39" s="9" t="n">
        <x:v>11.6666666666667</x:v>
      </x:c>
    </x:row>
    <x:row r="40" ht="22" customHeight="1">
      <x:c r="A40" s="2" t="str">
        <x:v>260335-46</x:v>
      </x:c>
      <x:c r="B40" s="2" t="str">
        <x:v>Cross-road</x:v>
      </x:c>
      <x:c r="C40" s="9" t="n">
        <x:f>INDEX('Site_Comparison'!$E$2:$E$50,MATCH($A40,'Site_Comparison'!$A$2:$A$50,0))</x:f>
        <x:v>1.66666666666667</x:v>
      </x:c>
      <x:c r="D40" s="9" t="n">
        <x:f>INDEX('Site_Comparison'!$F$2:$F$50,MATCH($A40,'Site_Comparison'!$A$2:$A$50,0))</x:f>
        <x:v>7.15050673300123</x:v>
      </x:c>
      <x:c r="E40" s="9" t="n">
        <x:f>IF(ISBLANK(INDEX('Site_Comparison'!$G$2:$G$50,MATCH($A40,'Site_Comparison'!$A$2:$A$50,0))),"",INDEX('Site_Comparison'!$G$2:$G$50,MATCH($A40,'Site_Comparison'!$A$2:$A$50,0)))</x:f>
        <x:v>7</x:v>
      </x:c>
      <x:c r="F40" s="2" t="n">
        <x:f>IF(INDEX('Site_Comparison'!$P$2:$P$50,MATCH($A40,'Site_Comparison'!$A$2:$A$50,0)),1,0)</x:f>
        <x:v>1</x:v>
      </x:c>
      <x:c r="G40" s="9" t="n">
        <x:f>D40-C40</x:f>
        <x:v>5.48384006633456</x:v>
      </x:c>
      <x:c r="H40" s="9" t="n">
        <x:f>ABS(G40)</x:f>
        <x:v>5.48384006633456</x:v>
      </x:c>
      <x:c r="I40" s="9" t="n">
        <x:f>G40^2</x:f>
        <x:v>30.07250187313623</x:v>
      </x:c>
      <x:c r="J40" s="9" t="n">
        <x:f>IF(ISNUMBER(E40),E40-C40,"")</x:f>
        <x:v>5.33333333333333</x:v>
      </x:c>
      <x:c r="K40" s="9" t="n">
        <x:f>IF(ISNUMBER(J40),ABS(J40),"")</x:f>
        <x:v>5.33333333333333</x:v>
      </x:c>
      <x:c r="L40" s="9" t="n">
        <x:f>IF(ISNUMBER(J40),J40^2,"")</x:f>
        <x:v>28.444444444444414</x:v>
      </x:c>
      <x:c r="M40" s="2"/>
      <x:c r="O40" s="9" t="n">
        <x:v>1.66666666666667</x:v>
      </x:c>
      <x:c r="P40" s="9" t="n">
        <x:v>7.15050673300123</x:v>
      </x:c>
      <x:c r="Q40" s="9" t="n">
        <x:v>7</x:v>
      </x:c>
      <x:c r="R40" s="9" t="n">
        <x:v>1.66666666666667</x:v>
      </x:c>
      <x:c r="T40" s="9" t="n">
        <x:v>6.33333333333333</x:v>
      </x:c>
      <x:c r="U40" s="9" t="n">
        <x:v>9.328562335735</x:v>
      </x:c>
      <x:c r="V40" s="9" t="n">
        <x:v>24</x:v>
      </x:c>
      <x:c r="W40" s="9" t="n">
        <x:v>6.33333333333333</x:v>
      </x:c>
    </x:row>
    <x:row r="41" ht="22" customHeight="1">
      <x:c r="A41" s="2" t="str">
        <x:v>260335-47</x:v>
      </x:c>
      <x:c r="B41" s="2" t="str">
        <x:v>Cross-road</x:v>
      </x:c>
      <x:c r="C41" s="9" t="n">
        <x:f>INDEX('Site_Comparison'!$E$2:$E$50,MATCH($A41,'Site_Comparison'!$A$2:$A$50,0))</x:f>
        <x:v>7.33333333333333</x:v>
      </x:c>
      <x:c r="D41" s="9" t="n">
        <x:f>INDEX('Site_Comparison'!$F$2:$F$50,MATCH($A41,'Site_Comparison'!$A$2:$A$50,0))</x:f>
        <x:v>40.1299743930667</x:v>
      </x:c>
      <x:c r="E41" s="9" t="n">
        <x:f>IF(ISBLANK(INDEX('Site_Comparison'!$G$2:$G$50,MATCH($A41,'Site_Comparison'!$A$2:$A$50,0))),"",INDEX('Site_Comparison'!$G$2:$G$50,MATCH($A41,'Site_Comparison'!$A$2:$A$50,0)))</x:f>
        <x:v>10</x:v>
      </x:c>
      <x:c r="F41" s="2" t="n">
        <x:f>IF(INDEX('Site_Comparison'!$P$2:$P$50,MATCH($A41,'Site_Comparison'!$A$2:$A$50,0)),1,0)</x:f>
        <x:v>1</x:v>
      </x:c>
      <x:c r="G41" s="9" t="n">
        <x:f>D41-C41</x:f>
        <x:v>32.796641059733375</x:v>
      </x:c>
      <x:c r="H41" s="9" t="n">
        <x:f>ABS(G41)</x:f>
        <x:v>32.796641059733375</x:v>
      </x:c>
      <x:c r="I41" s="9" t="n">
        <x:f>G41^2</x:f>
        <x:v>1075.619664800989</x:v>
      </x:c>
      <x:c r="J41" s="9" t="n">
        <x:f>IF(ISNUMBER(E41),E41-C41,"")</x:f>
        <x:v>2.6666666666666696</x:v>
      </x:c>
      <x:c r="K41" s="9" t="n">
        <x:f>IF(ISNUMBER(J41),ABS(J41),"")</x:f>
        <x:v>2.6666666666666696</x:v>
      </x:c>
      <x:c r="L41" s="9" t="n">
        <x:f>IF(ISNUMBER(J41),J41^2,"")</x:f>
        <x:v>7.111111111111127</x:v>
      </x:c>
      <x:c r="M41" s="2"/>
      <x:c r="O41" s="9" t="n">
        <x:v>7.33333333333333</x:v>
      </x:c>
      <x:c r="P41" s="9" t="n">
        <x:v>40.1299743930667</x:v>
      </x:c>
      <x:c r="Q41" s="9" t="n">
        <x:v>10</x:v>
      </x:c>
      <x:c r="R41" s="9" t="n">
        <x:v>7.33333333333333</x:v>
      </x:c>
      <x:c r="T41" s="9" t="n">
        <x:v>7.33333333333333</x:v>
      </x:c>
      <x:c r="U41" s="9" t="n">
        <x:v>16.4927830171191</x:v>
      </x:c>
      <x:c r="V41" s="9" t="n">
        <x:v>64.3333333333333</x:v>
      </x:c>
      <x:c r="W41" s="9" t="n">
        <x:v>7.33333333333333</x:v>
      </x:c>
    </x:row>
    <x:row r="42" ht="22" customHeight="1">
      <x:c r="A42" s="2" t="str">
        <x:v>260335-48</x:v>
      </x:c>
      <x:c r="B42" s="2" t="str">
        <x:v>Cross-road</x:v>
      </x:c>
      <x:c r="C42" s="9" t="n">
        <x:f>INDEX('Site_Comparison'!$E$2:$E$50,MATCH($A42,'Site_Comparison'!$A$2:$A$50,0))</x:f>
        <x:v>5.66666666666667</x:v>
      </x:c>
      <x:c r="D42" s="9" t="n">
        <x:f>INDEX('Site_Comparison'!$F$2:$F$50,MATCH($A42,'Site_Comparison'!$A$2:$A$50,0))</x:f>
        <x:v>4.54685915468433</x:v>
      </x:c>
      <x:c r="E42" s="9" t="n">
        <x:f>IF(ISBLANK(INDEX('Site_Comparison'!$G$2:$G$50,MATCH($A42,'Site_Comparison'!$A$2:$A$50,0))),"",INDEX('Site_Comparison'!$G$2:$G$50,MATCH($A42,'Site_Comparison'!$A$2:$A$50,0)))</x:f>
        <x:v>3</x:v>
      </x:c>
      <x:c r="F42" s="2" t="n">
        <x:f>IF(INDEX('Site_Comparison'!$P$2:$P$50,MATCH($A42,'Site_Comparison'!$A$2:$A$50,0)),1,0)</x:f>
        <x:v>1</x:v>
      </x:c>
      <x:c r="G42" s="9" t="n">
        <x:f>D42-C42</x:f>
        <x:v>-1.1198075119823399</x:v>
      </x:c>
      <x:c r="H42" s="9" t="n">
        <x:f>ABS(G42)</x:f>
        <x:v>1.1198075119823399</x:v>
      </x:c>
      <x:c r="I42" s="9" t="n">
        <x:f>G42^2</x:f>
        <x:v>1.2539688638920783</x:v>
      </x:c>
      <x:c r="J42" s="9" t="n">
        <x:f>IF(ISNUMBER(E42),E42-C42,"")</x:f>
        <x:v>-2.6666666666666696</x:v>
      </x:c>
      <x:c r="K42" s="9" t="n">
        <x:f>IF(ISNUMBER(J42),ABS(J42),"")</x:f>
        <x:v>2.6666666666666696</x:v>
      </x:c>
      <x:c r="L42" s="9" t="n">
        <x:f>IF(ISNUMBER(J42),J42^2,"")</x:f>
        <x:v>7.111111111111127</x:v>
      </x:c>
      <x:c r="M42" s="2"/>
      <x:c r="O42" s="9" t="n">
        <x:v>5.66666666666667</x:v>
      </x:c>
      <x:c r="P42" s="9" t="n">
        <x:v>4.54685915468433</x:v>
      </x:c>
      <x:c r="Q42" s="9" t="n">
        <x:v>3</x:v>
      </x:c>
      <x:c r="R42" s="9" t="n">
        <x:v>5.66666666666667</x:v>
      </x:c>
      <x:c r="T42" s="9" t="n">
        <x:v>4.33333333333333</x:v>
      </x:c>
      <x:c r="U42" s="9" t="n">
        <x:v>7.20994785361989</x:v>
      </x:c>
      <x:c r="V42" s="9" t="n">
        <x:v>30</x:v>
      </x:c>
      <x:c r="W42" s="9" t="n">
        <x:v>4.33333333333333</x:v>
      </x:c>
    </x:row>
    <x:row r="43" ht="22" customHeight="1">
      <x:c r="A43" s="2" t="str">
        <x:v>260335-49</x:v>
      </x:c>
      <x:c r="B43" s="2" t="str">
        <x:v>Cross-road</x:v>
      </x:c>
      <x:c r="C43" s="9" t="n">
        <x:f>INDEX('Site_Comparison'!$E$2:$E$50,MATCH($A43,'Site_Comparison'!$A$2:$A$50,0))</x:f>
        <x:v>5.66666666666667</x:v>
      </x:c>
      <x:c r="D43" s="9" t="n">
        <x:f>INDEX('Site_Comparison'!$F$2:$F$50,MATCH($A43,'Site_Comparison'!$A$2:$A$50,0))</x:f>
        <x:v>7.68675409190811</x:v>
      </x:c>
      <x:c r="E43" s="9" t="n">
        <x:f>IF(ISBLANK(INDEX('Site_Comparison'!$G$2:$G$50,MATCH($A43,'Site_Comparison'!$A$2:$A$50,0))),"",INDEX('Site_Comparison'!$G$2:$G$50,MATCH($A43,'Site_Comparison'!$A$2:$A$50,0)))</x:f>
        <x:v>15</x:v>
      </x:c>
      <x:c r="F43" s="2" t="n">
        <x:f>IF(INDEX('Site_Comparison'!$P$2:$P$50,MATCH($A43,'Site_Comparison'!$A$2:$A$50,0)),1,0)</x:f>
        <x:v>1</x:v>
      </x:c>
      <x:c r="G43" s="9" t="n">
        <x:f>D43-C43</x:f>
        <x:v>2.0200874252414405</x:v>
      </x:c>
      <x:c r="H43" s="9" t="n">
        <x:f>ABS(G43)</x:f>
        <x:v>2.0200874252414405</x:v>
      </x:c>
      <x:c r="I43" s="9" t="n">
        <x:f>G43^2</x:f>
        <x:v>4.080753205618592</x:v>
      </x:c>
      <x:c r="J43" s="9" t="n">
        <x:f>IF(ISNUMBER(E43),E43-C43,"")</x:f>
        <x:v>9.33333333333333</x:v>
      </x:c>
      <x:c r="K43" s="9" t="n">
        <x:f>IF(ISNUMBER(J43),ABS(J43),"")</x:f>
        <x:v>9.33333333333333</x:v>
      </x:c>
      <x:c r="L43" s="9" t="n">
        <x:f>IF(ISNUMBER(J43),J43^2,"")</x:f>
        <x:v>87.11111111111106</x:v>
      </x:c>
      <x:c r="M43" s="2"/>
      <x:c r="O43" s="9" t="n">
        <x:v>5.66666666666667</x:v>
      </x:c>
      <x:c r="P43" s="9" t="n">
        <x:v>7.68675409190811</x:v>
      </x:c>
      <x:c r="Q43" s="9" t="n">
        <x:v>15</x:v>
      </x:c>
      <x:c r="R43" s="9" t="n">
        <x:v>5.66666666666667</x:v>
      </x:c>
      <x:c r="T43" s="9" t="n">
        <x:v>35.3333333333333</x:v>
      </x:c>
      <x:c r="U43" s="9" t="n">
        <x:v>10.5665450621751</x:v>
      </x:c>
      <x:c r="V43" s="9" t="n">
        <x:v>102</x:v>
      </x:c>
      <x:c r="W43" s="9" t="n">
        <x:v>35.3333333333333</x:v>
      </x:c>
    </x:row>
    <x:row r="44" ht="22" customHeight="1">
      <x:c r="A44" s="2" t="str">
        <x:v>260335-50</x:v>
      </x:c>
      <x:c r="B44" s="2" t="str">
        <x:v>Cross-road</x:v>
      </x:c>
      <x:c r="C44" s="9" t="n">
        <x:f>INDEX('Site_Comparison'!$E$2:$E$50,MATCH($A44,'Site_Comparison'!$A$2:$A$50,0))</x:f>
        <x:v>4.66666666666667</x:v>
      </x:c>
      <x:c r="D44" s="9" t="n">
        <x:f>INDEX('Site_Comparison'!$F$2:$F$50,MATCH($A44,'Site_Comparison'!$A$2:$A$50,0))</x:f>
        <x:v>3.12415235779679</x:v>
      </x:c>
      <x:c r="E44" s="9" t="n">
        <x:f>IF(ISBLANK(INDEX('Site_Comparison'!$G$2:$G$50,MATCH($A44,'Site_Comparison'!$A$2:$A$50,0))),"",INDEX('Site_Comparison'!$G$2:$G$50,MATCH($A44,'Site_Comparison'!$A$2:$A$50,0)))</x:f>
        <x:v>3</x:v>
      </x:c>
      <x:c r="F44" s="2" t="n">
        <x:f>IF(INDEX('Site_Comparison'!$P$2:$P$50,MATCH($A44,'Site_Comparison'!$A$2:$A$50,0)),1,0)</x:f>
        <x:v>1</x:v>
      </x:c>
      <x:c r="G44" s="9" t="n">
        <x:f>D44-C44</x:f>
        <x:v>-1.5425143088698796</x:v>
      </x:c>
      <x:c r="H44" s="9" t="n">
        <x:f>ABS(G44)</x:f>
        <x:v>1.5425143088698796</x:v>
      </x:c>
      <x:c r="I44" s="9" t="n">
        <x:f>G44^2</x:f>
        <x:v>2.3793503930683224</x:v>
      </x:c>
      <x:c r="J44" s="9" t="n">
        <x:f>IF(ISNUMBER(E44),E44-C44,"")</x:f>
        <x:v>-1.6666666666666696</x:v>
      </x:c>
      <x:c r="K44" s="9" t="n">
        <x:f>IF(ISNUMBER(J44),ABS(J44),"")</x:f>
        <x:v>1.6666666666666696</x:v>
      </x:c>
      <x:c r="L44" s="9" t="n">
        <x:f>IF(ISNUMBER(J44),J44^2,"")</x:f>
        <x:v>2.7777777777777874</x:v>
      </x:c>
      <x:c r="M44" s="2"/>
      <x:c r="O44" s="9" t="n">
        <x:v>4.66666666666667</x:v>
      </x:c>
      <x:c r="P44" s="9" t="n">
        <x:v>3.12415235779679</x:v>
      </x:c>
      <x:c r="Q44" s="9" t="n">
        <x:v>3</x:v>
      </x:c>
      <x:c r="R44" s="9" t="n">
        <x:v>4.66666666666667</x:v>
      </x:c>
      <x:c r="T44" s="31" t="n">
        <x:v>4.33333333333333</x:v>
      </x:c>
      <x:c r="U44" s="31" t="n">
        <x:v>6.00867163249303</x:v>
      </x:c>
      <x:c r="V44" s="31" t="n">
        <x:v>75</x:v>
      </x:c>
      <x:c r="W44" s="31" t="n">
        <x:v>4.33333333333333</x:v>
      </x:c>
    </x:row>
    <x:row r="45" ht="22" customHeight="1">
      <x:c r="A45" s="2" t="str">
        <x:v>260335-51</x:v>
      </x:c>
      <x:c r="B45" s="2" t="str">
        <x:v>Cross-road</x:v>
      </x:c>
      <x:c r="C45" s="9" t="n">
        <x:f>INDEX('Site_Comparison'!$E$2:$E$50,MATCH($A45,'Site_Comparison'!$A$2:$A$50,0))</x:f>
        <x:v>16.6666666666667</x:v>
      </x:c>
      <x:c r="D45" s="9" t="n">
        <x:f>INDEX('Site_Comparison'!$F$2:$F$50,MATCH($A45,'Site_Comparison'!$A$2:$A$50,0))</x:f>
        <x:v>6.00403518094301</x:v>
      </x:c>
      <x:c r="E45" s="9" t="n">
        <x:f>IF(ISBLANK(INDEX('Site_Comparison'!$G$2:$G$50,MATCH($A45,'Site_Comparison'!$A$2:$A$50,0))),"",INDEX('Site_Comparison'!$G$2:$G$50,MATCH($A45,'Site_Comparison'!$A$2:$A$50,0)))</x:f>
        <x:v>15</x:v>
      </x:c>
      <x:c r="F45" s="2" t="n">
        <x:f>IF(INDEX('Site_Comparison'!$P$2:$P$50,MATCH($A45,'Site_Comparison'!$A$2:$A$50,0)),1,0)</x:f>
        <x:v>1</x:v>
      </x:c>
      <x:c r="G45" s="9" t="n">
        <x:f>D45-C45</x:f>
        <x:v>-10.66263148572369</x:v>
      </x:c>
      <x:c r="H45" s="9" t="n">
        <x:f>ABS(G45)</x:f>
        <x:v>10.66263148572369</x:v>
      </x:c>
      <x:c r="I45" s="9" t="n">
        <x:f>G45^2</x:f>
        <x:v>113.69171020034618</x:v>
      </x:c>
      <x:c r="J45" s="9" t="n">
        <x:f>IF(ISNUMBER(E45),E45-C45,"")</x:f>
        <x:v>-1.6666666666666998</x:v>
      </x:c>
      <x:c r="K45" s="9" t="n">
        <x:f>IF(ISNUMBER(J45),ABS(J45),"")</x:f>
        <x:v>1.6666666666666998</x:v>
      </x:c>
      <x:c r="L45" s="9" t="n">
        <x:f>IF(ISNUMBER(J45),J45^2,"")</x:f>
        <x:v>2.7777777777778883</x:v>
      </x:c>
      <x:c r="M45" s="2"/>
      <x:c r="O45" s="9" t="n">
        <x:v>16.6666666666667</x:v>
      </x:c>
      <x:c r="P45" s="9" t="n">
        <x:v>6.00403518094301</x:v>
      </x:c>
      <x:c r="Q45" s="9" t="n">
        <x:v>15</x:v>
      </x:c>
      <x:c r="R45" s="9" t="n">
        <x:v>16.6666666666667</x:v>
      </x:c>
    </x:row>
    <x:row r="46" ht="22" customHeight="1">
      <x:c r="A46" s="2" t="str">
        <x:v>260335-52</x:v>
      </x:c>
      <x:c r="B46" s="2" t="str">
        <x:v>Cross-road</x:v>
      </x:c>
      <x:c r="C46" s="9" t="n">
        <x:f>INDEX('Site_Comparison'!$E$2:$E$50,MATCH($A46,'Site_Comparison'!$A$2:$A$50,0))</x:f>
        <x:v>6</x:v>
      </x:c>
      <x:c r="D46" s="9" t="n">
        <x:f>INDEX('Site_Comparison'!$F$2:$F$50,MATCH($A46,'Site_Comparison'!$A$2:$A$50,0))</x:f>
        <x:v>3.61215401171407</x:v>
      </x:c>
      <x:c r="E46" s="9" t="n">
        <x:f>IF(ISBLANK(INDEX('Site_Comparison'!$G$2:$G$50,MATCH($A46,'Site_Comparison'!$A$2:$A$50,0))),"",INDEX('Site_Comparison'!$G$2:$G$50,MATCH($A46,'Site_Comparison'!$A$2:$A$50,0)))</x:f>
        <x:v>15</x:v>
      </x:c>
      <x:c r="F46" s="2" t="n">
        <x:f>IF(INDEX('Site_Comparison'!$P$2:$P$50,MATCH($A46,'Site_Comparison'!$A$2:$A$50,0)),1,0)</x:f>
        <x:v>1</x:v>
      </x:c>
      <x:c r="G46" s="9" t="n">
        <x:f>D46-C46</x:f>
        <x:v>-2.38784598828593</x:v>
      </x:c>
      <x:c r="H46" s="9" t="n">
        <x:f>ABS(G46)</x:f>
        <x:v>2.38784598828593</x:v>
      </x:c>
      <x:c r="I46" s="9" t="n">
        <x:f>G46^2</x:f>
        <x:v>5.70180846377321</x:v>
      </x:c>
      <x:c r="J46" s="9" t="n">
        <x:f>IF(ISNUMBER(E46),E46-C46,"")</x:f>
        <x:v>9</x:v>
      </x:c>
      <x:c r="K46" s="9" t="n">
        <x:f>IF(ISNUMBER(J46),ABS(J46),"")</x:f>
        <x:v>9</x:v>
      </x:c>
      <x:c r="L46" s="9" t="n">
        <x:f>IF(ISNUMBER(J46),J46^2,"")</x:f>
        <x:v>81</x:v>
      </x:c>
      <x:c r="M46" s="2"/>
      <x:c r="O46" s="31" t="n">
        <x:v>6</x:v>
      </x:c>
      <x:c r="P46" s="31" t="n">
        <x:v>3.61215401171407</x:v>
      </x:c>
      <x:c r="Q46" s="31" t="n">
        <x:v>15</x:v>
      </x:c>
      <x:c r="R46" s="31" t="n">
        <x:v>6</x:v>
      </x:c>
    </x:row>
    <x:row r="47" ht="22" customHeight="1">
      <x:c r="A47" s="2" t="str">
        <x:v>250303-01</x:v>
      </x:c>
      <x:c r="B47" s="2" t="str">
        <x:v>Along-road</x:v>
      </x:c>
      <x:c r="C47" s="9" t="n">
        <x:f>INDEX('Site_Comparison'!$L$2:$L$50,MATCH($A47,'Site_Comparison'!$A$2:$A$50,0))</x:f>
        <x:v>12.3333333333333</x:v>
      </x:c>
      <x:c r="D47" s="9" t="n">
        <x:f>INDEX('Site_Comparison'!$M$2:$M$50,MATCH($A47,'Site_Comparison'!$A$2:$A$50,0))</x:f>
        <x:v>5.42913418857646</x:v>
      </x:c>
      <x:c r="E47" s="9" t="n">
        <x:f>IF(ISBLANK(INDEX('Site_Comparison'!$N$2:$N$50,MATCH($A47,'Site_Comparison'!$A$2:$A$50,0))),"",INDEX('Site_Comparison'!$N$2:$N$50,MATCH($A47,'Site_Comparison'!$A$2:$A$50,0)))</x:f>
        <x:v>0</x:v>
      </x:c>
      <x:c r="F47" s="2" t="n">
        <x:f>IF(INDEX('Site_Comparison'!$Q$2:$Q$50,MATCH($A47,'Site_Comparison'!$A$2:$A$50,0)),1,0)</x:f>
        <x:v>1</x:v>
      </x:c>
      <x:c r="G47" s="9" t="n">
        <x:f>D47-C47</x:f>
        <x:v>-6.9041991447568405</x:v>
      </x:c>
      <x:c r="H47" s="9" t="n">
        <x:f>ABS(G47)</x:f>
        <x:v>6.9041991447568405</x:v>
      </x:c>
      <x:c r="I47" s="9" t="n">
        <x:f>G47^2</x:f>
        <x:v>47.667965830461085</x:v>
      </x:c>
      <x:c r="J47" s="9" t="n">
        <x:f>IF(ISNUMBER(E47),E47-C47,"")</x:f>
        <x:v>-12.3333333333333</x:v>
      </x:c>
      <x:c r="K47" s="9" t="n">
        <x:f>IF(ISNUMBER(J47),ABS(J47),"")</x:f>
        <x:v>12.3333333333333</x:v>
      </x:c>
      <x:c r="L47" s="9" t="n">
        <x:f>IF(ISNUMBER(J47),J47^2,"")</x:f>
        <x:v>152.1111111111103</x:v>
      </x:c>
      <x:c r="M47" s="2"/>
    </x:row>
    <x:row r="48" ht="22" customHeight="1">
      <x:c r="A48" s="2" t="str">
        <x:v>250303-02</x:v>
      </x:c>
      <x:c r="B48" s="2" t="str">
        <x:v>Along-road</x:v>
      </x:c>
      <x:c r="C48" s="9" t="n">
        <x:f>INDEX('Site_Comparison'!$L$2:$L$50,MATCH($A48,'Site_Comparison'!$A$2:$A$50,0))</x:f>
        <x:v>7.66666666666667</x:v>
      </x:c>
      <x:c r="D48" s="9" t="n">
        <x:f>INDEX('Site_Comparison'!$M$2:$M$50,MATCH($A48,'Site_Comparison'!$A$2:$A$50,0))</x:f>
        <x:v>15.0120125642327</x:v>
      </x:c>
      <x:c r="E48" s="9" t="n">
        <x:f>IF(ISBLANK(INDEX('Site_Comparison'!$N$2:$N$50,MATCH($A48,'Site_Comparison'!$A$2:$A$50,0))),"",INDEX('Site_Comparison'!$N$2:$N$50,MATCH($A48,'Site_Comparison'!$A$2:$A$50,0)))</x:f>
        <x:v>12</x:v>
      </x:c>
      <x:c r="F48" s="2" t="n">
        <x:f>IF(INDEX('Site_Comparison'!$Q$2:$Q$50,MATCH($A48,'Site_Comparison'!$A$2:$A$50,0)),1,0)</x:f>
        <x:v>1</x:v>
      </x:c>
      <x:c r="G48" s="9" t="n">
        <x:f>D48-C48</x:f>
        <x:v>7.34534589756603</x:v>
      </x:c>
      <x:c r="H48" s="9" t="n">
        <x:f>ABS(G48)</x:f>
        <x:v>7.34534589756603</x:v>
      </x:c>
      <x:c r="I48" s="9" t="n">
        <x:f>G48^2</x:f>
        <x:v>53.954106354890115</x:v>
      </x:c>
      <x:c r="J48" s="9" t="n">
        <x:f>IF(ISNUMBER(E48),E48-C48,"")</x:f>
        <x:v>4.33333333333333</x:v>
      </x:c>
      <x:c r="K48" s="9" t="n">
        <x:f>IF(ISNUMBER(J48),ABS(J48),"")</x:f>
        <x:v>4.33333333333333</x:v>
      </x:c>
      <x:c r="L48" s="9" t="n">
        <x:f>IF(ISNUMBER(J48),J48^2,"")</x:f>
        <x:v>18.777777777777754</x:v>
      </x:c>
      <x:c r="M48" s="2"/>
    </x:row>
    <x:row r="49" ht="22" customHeight="1">
      <x:c r="A49" s="2" t="str">
        <x:v>250303-03</x:v>
      </x:c>
      <x:c r="B49" s="2" t="str">
        <x:v>Along-road</x:v>
      </x:c>
      <x:c r="C49" s="9" t="n">
        <x:f>INDEX('Site_Comparison'!$L$2:$L$50,MATCH($A49,'Site_Comparison'!$A$2:$A$50,0))</x:f>
        <x:v>101.333333333333</x:v>
      </x:c>
      <x:c r="D49" s="9" t="n">
        <x:f>INDEX('Site_Comparison'!$M$2:$M$50,MATCH($A49,'Site_Comparison'!$A$2:$A$50,0))</x:f>
        <x:v>51.2905395776091</x:v>
      </x:c>
      <x:c r="E49" s="9" t="n">
        <x:f>IF(ISBLANK(INDEX('Site_Comparison'!$N$2:$N$50,MATCH($A49,'Site_Comparison'!$A$2:$A$50,0))),"",INDEX('Site_Comparison'!$N$2:$N$50,MATCH($A49,'Site_Comparison'!$A$2:$A$50,0)))</x:f>
        <x:v>102</x:v>
      </x:c>
      <x:c r="F49" s="2" t="n">
        <x:f>IF(INDEX('Site_Comparison'!$Q$2:$Q$50,MATCH($A49,'Site_Comparison'!$A$2:$A$50,0)),1,0)</x:f>
        <x:v>1</x:v>
      </x:c>
      <x:c r="G49" s="9" t="n">
        <x:f>D49-C49</x:f>
        <x:v>-50.0427937557239</x:v>
      </x:c>
      <x:c r="H49" s="9" t="n">
        <x:f>ABS(G49)</x:f>
        <x:v>50.0427937557239</x:v>
      </x:c>
      <x:c r="I49" s="9" t="n">
        <x:f>G49^2</x:f>
        <x:v>2504.281206877919</x:v>
      </x:c>
      <x:c r="J49" s="9" t="n">
        <x:f>IF(ISNUMBER(E49),E49-C49,"")</x:f>
        <x:v>0.6666666666669983</x:v>
      </x:c>
      <x:c r="K49" s="9" t="n">
        <x:f>IF(ISNUMBER(J49),ABS(J49),"")</x:f>
        <x:v>0.6666666666669983</x:v>
      </x:c>
      <x:c r="L49" s="9" t="n">
        <x:f>IF(ISNUMBER(J49),J49^2,"")</x:f>
        <x:v>0.44444444444488657</x:v>
      </x:c>
      <x:c r="M49" s="2"/>
    </x:row>
    <x:row r="50" ht="22" customHeight="1">
      <x:c r="A50" s="2" t="str">
        <x:v>250303-04</x:v>
      </x:c>
      <x:c r="B50" s="2" t="str">
        <x:v>Along-road</x:v>
      </x:c>
      <x:c r="C50" s="9" t="n">
        <x:f>INDEX('Site_Comparison'!$L$2:$L$50,MATCH($A50,'Site_Comparison'!$A$2:$A$50,0))</x:f>
        <x:v>11</x:v>
      </x:c>
      <x:c r="D50" s="9" t="n">
        <x:f>INDEX('Site_Comparison'!$M$2:$M$50,MATCH($A50,'Site_Comparison'!$A$2:$A$50,0))</x:f>
        <x:v>3.65171324837878</x:v>
      </x:c>
      <x:c r="E50" s="9" t="n">
        <x:f>IF(ISBLANK(INDEX('Site_Comparison'!$N$2:$N$50,MATCH($A50,'Site_Comparison'!$A$2:$A$50,0))),"",INDEX('Site_Comparison'!$N$2:$N$50,MATCH($A50,'Site_Comparison'!$A$2:$A$50,0)))</x:f>
        <x:v>26</x:v>
      </x:c>
      <x:c r="F50" s="2" t="n">
        <x:f>IF(INDEX('Site_Comparison'!$Q$2:$Q$50,MATCH($A50,'Site_Comparison'!$A$2:$A$50,0)),1,0)</x:f>
        <x:v>1</x:v>
      </x:c>
      <x:c r="G50" s="9" t="n">
        <x:f>D50-C50</x:f>
        <x:v>-7.34828675162122</x:v>
      </x:c>
      <x:c r="H50" s="9" t="n">
        <x:f>ABS(G50)</x:f>
        <x:v>7.34828675162122</x:v>
      </x:c>
      <x:c r="I50" s="9" t="n">
        <x:f>G50^2</x:f>
        <x:v>53.99731818405194</x:v>
      </x:c>
      <x:c r="J50" s="9" t="n">
        <x:f>IF(ISNUMBER(E50),E50-C50,"")</x:f>
        <x:v>15</x:v>
      </x:c>
      <x:c r="K50" s="9" t="n">
        <x:f>IF(ISNUMBER(J50),ABS(J50),"")</x:f>
        <x:v>15</x:v>
      </x:c>
      <x:c r="L50" s="9" t="n">
        <x:f>IF(ISNUMBER(J50),J50^2,"")</x:f>
        <x:v>225</x:v>
      </x:c>
      <x:c r="M50" s="2"/>
    </x:row>
    <x:row r="51" ht="22" customHeight="1">
      <x:c r="A51" s="2" t="str">
        <x:v>250303-05</x:v>
      </x:c>
      <x:c r="B51" s="2" t="str">
        <x:v>Along-road</x:v>
      </x:c>
      <x:c r="C51" s="9" t="n">
        <x:f>INDEX('Site_Comparison'!$L$2:$L$50,MATCH($A51,'Site_Comparison'!$A$2:$A$50,0))</x:f>
        <x:v>108</x:v>
      </x:c>
      <x:c r="D51" s="9" t="n">
        <x:f>INDEX('Site_Comparison'!$M$2:$M$50,MATCH($A51,'Site_Comparison'!$A$2:$A$50,0))</x:f>
        <x:v>71.3996637174419</x:v>
      </x:c>
      <x:c r="E51" s="9" t="n">
        <x:f>IF(ISBLANK(INDEX('Site_Comparison'!$N$2:$N$50,MATCH($A51,'Site_Comparison'!$A$2:$A$50,0))),"",INDEX('Site_Comparison'!$N$2:$N$50,MATCH($A51,'Site_Comparison'!$A$2:$A$50,0)))</x:f>
        <x:v>78</x:v>
      </x:c>
      <x:c r="F51" s="2" t="n">
        <x:f>IF(INDEX('Site_Comparison'!$Q$2:$Q$50,MATCH($A51,'Site_Comparison'!$A$2:$A$50,0)),1,0)</x:f>
        <x:v>1</x:v>
      </x:c>
      <x:c r="G51" s="9" t="n">
        <x:f>D51-C51</x:f>
        <x:v>-36.600336282558104</x:v>
      </x:c>
      <x:c r="H51" s="9" t="n">
        <x:f>ABS(G51)</x:f>
        <x:v>36.600336282558104</x:v>
      </x:c>
      <x:c r="I51" s="9" t="n">
        <x:f>G51^2</x:f>
        <x:v>1339.5846159963392</x:v>
      </x:c>
      <x:c r="J51" s="9" t="n">
        <x:f>IF(ISNUMBER(E51),E51-C51,"")</x:f>
        <x:v>-30</x:v>
      </x:c>
      <x:c r="K51" s="9" t="n">
        <x:f>IF(ISNUMBER(J51),ABS(J51),"")</x:f>
        <x:v>30</x:v>
      </x:c>
      <x:c r="L51" s="9" t="n">
        <x:f>IF(ISNUMBER(J51),J51^2,"")</x:f>
        <x:v>900</x:v>
      </x:c>
      <x:c r="M51" s="2"/>
    </x:row>
    <x:row r="52" ht="22" customHeight="1">
      <x:c r="A52" s="2" t="str">
        <x:v>250303-06</x:v>
      </x:c>
      <x:c r="B52" s="2" t="str">
        <x:v>Along-road</x:v>
      </x:c>
      <x:c r="C52" s="9" t="n">
        <x:f>INDEX('Site_Comparison'!$L$2:$L$50,MATCH($A52,'Site_Comparison'!$A$2:$A$50,0))</x:f>
        <x:v>21.3333333333333</x:v>
      </x:c>
      <x:c r="D52" s="9" t="n">
        <x:f>INDEX('Site_Comparison'!$M$2:$M$50,MATCH($A52,'Site_Comparison'!$A$2:$A$50,0))</x:f>
        <x:v>7.70995805277779</x:v>
      </x:c>
      <x:c r="E52" s="9" t="n">
        <x:f>IF(ISBLANK(INDEX('Site_Comparison'!$N$2:$N$50,MATCH($A52,'Site_Comparison'!$A$2:$A$50,0))),"",INDEX('Site_Comparison'!$N$2:$N$50,MATCH($A52,'Site_Comparison'!$A$2:$A$50,0)))</x:f>
        <x:v>150</x:v>
      </x:c>
      <x:c r="F52" s="2" t="n">
        <x:f>IF(INDEX('Site_Comparison'!$Q$2:$Q$50,MATCH($A52,'Site_Comparison'!$A$2:$A$50,0)),1,0)</x:f>
        <x:v>1</x:v>
      </x:c>
      <x:c r="G52" s="9" t="n">
        <x:f>D52-C52</x:f>
        <x:v>-13.62337528055551</x:v>
      </x:c>
      <x:c r="H52" s="9" t="n">
        <x:f>ABS(G52)</x:f>
        <x:v>13.62337528055551</x:v>
      </x:c>
      <x:c r="I52" s="9" t="n">
        <x:f>G52^2</x:f>
        <x:v>185.59635403485095</x:v>
      </x:c>
      <x:c r="J52" s="9" t="n">
        <x:f>IF(ISNUMBER(E52),E52-C52,"")</x:f>
        <x:v>128.66666666666669</x:v>
      </x:c>
      <x:c r="K52" s="9" t="n">
        <x:f>IF(ISNUMBER(J52),ABS(J52),"")</x:f>
        <x:v>128.66666666666669</x:v>
      </x:c>
      <x:c r="L52" s="9" t="n">
        <x:f>IF(ISNUMBER(J52),J52^2,"")</x:f>
        <x:v>16555.111111111117</x:v>
      </x:c>
      <x:c r="M52" s="2"/>
    </x:row>
    <x:row r="53" ht="22" customHeight="1">
      <x:c r="A53" s="2" t="str">
        <x:v>250303-07</x:v>
      </x:c>
      <x:c r="B53" s="2" t="str">
        <x:v>Along-road</x:v>
      </x:c>
      <x:c r="C53" s="9" t="n">
        <x:f>INDEX('Site_Comparison'!$L$2:$L$50,MATCH($A53,'Site_Comparison'!$A$2:$A$50,0))</x:f>
        <x:v>52.3333333333333</x:v>
      </x:c>
      <x:c r="D53" s="9" t="n">
        <x:f>INDEX('Site_Comparison'!$M$2:$M$50,MATCH($A53,'Site_Comparison'!$A$2:$A$50,0))</x:f>
        <x:v>71.3996637174419</x:v>
      </x:c>
      <x:c r="E53" s="9" t="n">
        <x:f>IF(ISBLANK(INDEX('Site_Comparison'!$N$2:$N$50,MATCH($A53,'Site_Comparison'!$A$2:$A$50,0))),"",INDEX('Site_Comparison'!$N$2:$N$50,MATCH($A53,'Site_Comparison'!$A$2:$A$50,0)))</x:f>
        <x:v>51</x:v>
      </x:c>
      <x:c r="F53" s="2" t="n">
        <x:f>IF(INDEX('Site_Comparison'!$Q$2:$Q$50,MATCH($A53,'Site_Comparison'!$A$2:$A$50,0)),1,0)</x:f>
        <x:v>1</x:v>
      </x:c>
      <x:c r="G53" s="9" t="n">
        <x:f>D53-C53</x:f>
        <x:v>19.066330384108596</x:v>
      </x:c>
      <x:c r="H53" s="9" t="n">
        <x:f>ABS(G53)</x:f>
        <x:v>19.066330384108596</x:v>
      </x:c>
      <x:c r="I53" s="9" t="n">
        <x:f>G53^2</x:f>
        <x:v>363.52495431598265</x:v>
      </x:c>
      <x:c r="J53" s="9" t="n">
        <x:f>IF(ISNUMBER(E53),E53-C53,"")</x:f>
        <x:v>-1.3333333333333002</x:v>
      </x:c>
      <x:c r="K53" s="9" t="n">
        <x:f>IF(ISNUMBER(J53),ABS(J53),"")</x:f>
        <x:v>1.3333333333333002</x:v>
      </x:c>
      <x:c r="L53" s="9" t="n">
        <x:f>IF(ISNUMBER(J53),J53^2,"")</x:f>
        <x:v>1.7777777777776893</x:v>
      </x:c>
      <x:c r="M53" s="2"/>
    </x:row>
    <x:row r="54" ht="22" customHeight="1">
      <x:c r="A54" s="2" t="str">
        <x:v>250303-08</x:v>
      </x:c>
      <x:c r="B54" s="2" t="str">
        <x:v>Along-road</x:v>
      </x:c>
      <x:c r="C54" s="9" t="n">
        <x:f>INDEX('Site_Comparison'!$L$2:$L$50,MATCH($A54,'Site_Comparison'!$A$2:$A$50,0))</x:f>
        <x:v>53</x:v>
      </x:c>
      <x:c r="D54" s="9" t="n">
        <x:f>INDEX('Site_Comparison'!$M$2:$M$50,MATCH($A54,'Site_Comparison'!$A$2:$A$50,0))</x:f>
        <x:v>51.7729471822099</x:v>
      </x:c>
      <x:c r="E54" s="9" t="n">
        <x:f>IF(ISBLANK(INDEX('Site_Comparison'!$N$2:$N$50,MATCH($A54,'Site_Comparison'!$A$2:$A$50,0))),"",INDEX('Site_Comparison'!$N$2:$N$50,MATCH($A54,'Site_Comparison'!$A$2:$A$50,0)))</x:f>
        <x:v>84</x:v>
      </x:c>
      <x:c r="F54" s="2" t="n">
        <x:f>IF(INDEX('Site_Comparison'!$Q$2:$Q$50,MATCH($A54,'Site_Comparison'!$A$2:$A$50,0)),1,0)</x:f>
        <x:v>1</x:v>
      </x:c>
      <x:c r="G54" s="9" t="n">
        <x:f>D54-C54</x:f>
        <x:v>-1.2270528177901028</x:v>
      </x:c>
      <x:c r="H54" s="9" t="n">
        <x:f>ABS(G54)</x:f>
        <x:v>1.2270528177901028</x:v>
      </x:c>
      <x:c r="I54" s="9" t="n">
        <x:f>G54^2</x:f>
        <x:v>1.5056586176466311</x:v>
      </x:c>
      <x:c r="J54" s="9" t="n">
        <x:f>IF(ISNUMBER(E54),E54-C54,"")</x:f>
        <x:v>31</x:v>
      </x:c>
      <x:c r="K54" s="9" t="n">
        <x:f>IF(ISNUMBER(J54),ABS(J54),"")</x:f>
        <x:v>31</x:v>
      </x:c>
      <x:c r="L54" s="9" t="n">
        <x:f>IF(ISNUMBER(J54),J54^2,"")</x:f>
        <x:v>961</x:v>
      </x:c>
      <x:c r="M54" s="2"/>
    </x:row>
    <x:row r="55" ht="22" customHeight="1">
      <x:c r="A55" s="2" t="str">
        <x:v>250303-09</x:v>
      </x:c>
      <x:c r="B55" s="2" t="str">
        <x:v>Along-road</x:v>
      </x:c>
      <x:c r="C55" s="9" t="n">
        <x:f>INDEX('Site_Comparison'!$L$2:$L$50,MATCH($A55,'Site_Comparison'!$A$2:$A$50,0))</x:f>
        <x:v>13</x:v>
      </x:c>
      <x:c r="D55" s="9" t="n">
        <x:f>INDEX('Site_Comparison'!$M$2:$M$50,MATCH($A55,'Site_Comparison'!$A$2:$A$50,0))</x:f>
        <x:v>52.9386676042684</x:v>
      </x:c>
      <x:c r="E55" s="9" t="n">
        <x:f>IF(ISBLANK(INDEX('Site_Comparison'!$N$2:$N$50,MATCH($A55,'Site_Comparison'!$A$2:$A$50,0))),"",INDEX('Site_Comparison'!$N$2:$N$50,MATCH($A55,'Site_Comparison'!$A$2:$A$50,0)))</x:f>
        <x:v>102</x:v>
      </x:c>
      <x:c r="F55" s="2" t="n">
        <x:f>IF(INDEX('Site_Comparison'!$Q$2:$Q$50,MATCH($A55,'Site_Comparison'!$A$2:$A$50,0)),1,0)</x:f>
        <x:v>1</x:v>
      </x:c>
      <x:c r="G55" s="9" t="n">
        <x:f>D55-C55</x:f>
        <x:v>39.9386676042684</x:v>
      </x:c>
      <x:c r="H55" s="9" t="n">
        <x:f>ABS(G55)</x:f>
        <x:v>39.9386676042684</x:v>
      </x:c>
      <x:c r="I55" s="9" t="n">
        <x:f>G55^2</x:f>
        <x:v>1595.0971700042385</x:v>
      </x:c>
      <x:c r="J55" s="9" t="n">
        <x:f>IF(ISNUMBER(E55),E55-C55,"")</x:f>
        <x:v>89</x:v>
      </x:c>
      <x:c r="K55" s="9" t="n">
        <x:f>IF(ISNUMBER(J55),ABS(J55),"")</x:f>
        <x:v>89</x:v>
      </x:c>
      <x:c r="L55" s="9" t="n">
        <x:f>IF(ISNUMBER(J55),J55^2,"")</x:f>
        <x:v>7921</x:v>
      </x:c>
      <x:c r="M55" s="2"/>
    </x:row>
    <x:row r="56" ht="22" customHeight="1">
      <x:c r="A56" s="2" t="str">
        <x:v>250303-10</x:v>
      </x:c>
      <x:c r="B56" s="2" t="str">
        <x:v>Along-road</x:v>
      </x:c>
      <x:c r="C56" s="9" t="n">
        <x:f>INDEX('Site_Comparison'!$L$2:$L$50,MATCH($A56,'Site_Comparison'!$A$2:$A$50,0))</x:f>
        <x:v>349.666666666667</x:v>
      </x:c>
      <x:c r="D56" s="9" t="n">
        <x:f>INDEX('Site_Comparison'!$M$2:$M$50,MATCH($A56,'Site_Comparison'!$A$2:$A$50,0))</x:f>
        <x:v>242.888229555798</x:v>
      </x:c>
      <x:c r="E56" s="9" t="n">
        <x:f>IF(ISBLANK(INDEX('Site_Comparison'!$N$2:$N$50,MATCH($A56,'Site_Comparison'!$A$2:$A$50,0))),"",INDEX('Site_Comparison'!$N$2:$N$50,MATCH($A56,'Site_Comparison'!$A$2:$A$50,0)))</x:f>
        <x:v>102</x:v>
      </x:c>
      <x:c r="F56" s="2" t="n">
        <x:f>IF(INDEX('Site_Comparison'!$Q$2:$Q$50,MATCH($A56,'Site_Comparison'!$A$2:$A$50,0)),1,0)</x:f>
        <x:v>1</x:v>
      </x:c>
      <x:c r="G56" s="9" t="n">
        <x:f>D56-C56</x:f>
        <x:v>-106.77843711086902</x:v>
      </x:c>
      <x:c r="H56" s="9" t="n">
        <x:f>ABS(G56)</x:f>
        <x:v>106.77843711086902</x:v>
      </x:c>
      <x:c r="I56" s="9" t="n">
        <x:f>G56^2</x:f>
        <x:v>11401.63463183981</x:v>
      </x:c>
      <x:c r="J56" s="9" t="n">
        <x:f>IF(ISNUMBER(E56),E56-C56,"")</x:f>
        <x:v>-247.66666666666703</x:v>
      </x:c>
      <x:c r="K56" s="9" t="n">
        <x:f>IF(ISNUMBER(J56),ABS(J56),"")</x:f>
        <x:v>247.66666666666703</x:v>
      </x:c>
      <x:c r="L56" s="9" t="n">
        <x:f>IF(ISNUMBER(J56),J56^2,"")</x:f>
        <x:v>61338.777777777956</x:v>
      </x:c>
      <x:c r="M56" s="2"/>
    </x:row>
    <x:row r="57" ht="22" customHeight="1">
      <x:c r="A57" s="2" t="str">
        <x:v>250303-11</x:v>
      </x:c>
      <x:c r="B57" s="2" t="str">
        <x:v>Along-road</x:v>
      </x:c>
      <x:c r="C57" s="9" t="n">
        <x:f>INDEX('Site_Comparison'!$L$2:$L$50,MATCH($A57,'Site_Comparison'!$A$2:$A$50,0))</x:f>
        <x:v>328.666666666667</x:v>
      </x:c>
      <x:c r="D57" s="9" t="n">
        <x:f>INDEX('Site_Comparison'!$M$2:$M$50,MATCH($A57,'Site_Comparison'!$A$2:$A$50,0))</x:f>
        <x:v>172.841081256918</x:v>
      </x:c>
      <x:c r="E57" s="9" t="n">
        <x:f>IF(ISBLANK(INDEX('Site_Comparison'!$N$2:$N$50,MATCH($A57,'Site_Comparison'!$A$2:$A$50,0))),"",INDEX('Site_Comparison'!$N$2:$N$50,MATCH($A57,'Site_Comparison'!$A$2:$A$50,0)))</x:f>
        <x:v>150</x:v>
      </x:c>
      <x:c r="F57" s="2" t="n">
        <x:f>IF(INDEX('Site_Comparison'!$Q$2:$Q$50,MATCH($A57,'Site_Comparison'!$A$2:$A$50,0)),1,0)</x:f>
        <x:v>1</x:v>
      </x:c>
      <x:c r="G57" s="9" t="n">
        <x:f>D57-C57</x:f>
        <x:v>-155.82558540974904</x:v>
      </x:c>
      <x:c r="H57" s="9" t="n">
        <x:f>ABS(G57)</x:f>
        <x:v>155.82558540974904</x:v>
      </x:c>
      <x:c r="I57" s="9" t="n">
        <x:f>G57^2</x:f>
        <x:v>24281.613068290993</x:v>
      </x:c>
      <x:c r="J57" s="9" t="n">
        <x:f>IF(ISNUMBER(E57),E57-C57,"")</x:f>
        <x:v>-178.66666666666703</x:v>
      </x:c>
      <x:c r="K57" s="9" t="n">
        <x:f>IF(ISNUMBER(J57),ABS(J57),"")</x:f>
        <x:v>178.66666666666703</x:v>
      </x:c>
      <x:c r="L57" s="9" t="n">
        <x:f>IF(ISNUMBER(J57),J57^2,"")</x:f>
        <x:v>31921.777777777905</x:v>
      </x:c>
      <x:c r="M57" s="2"/>
    </x:row>
    <x:row r="58" ht="22" customHeight="1">
      <x:c r="A58" s="2" t="str">
        <x:v>250303-12</x:v>
      </x:c>
      <x:c r="B58" s="2" t="str">
        <x:v>Along-road</x:v>
      </x:c>
      <x:c r="C58" s="9" t="n">
        <x:f>INDEX('Site_Comparison'!$L$2:$L$50,MATCH($A58,'Site_Comparison'!$A$2:$A$50,0))</x:f>
        <x:v>91.6666666666667</x:v>
      </x:c>
      <x:c r="D58" s="9" t="n">
        <x:f>INDEX('Site_Comparison'!$M$2:$M$50,MATCH($A58,'Site_Comparison'!$A$2:$A$50,0))</x:f>
        <x:v>61.0918223716678</x:v>
      </x:c>
      <x:c r="E58" s="9" t="n">
        <x:f>IF(ISBLANK(INDEX('Site_Comparison'!$N$2:$N$50,MATCH($A58,'Site_Comparison'!$A$2:$A$50,0))),"",INDEX('Site_Comparison'!$N$2:$N$50,MATCH($A58,'Site_Comparison'!$A$2:$A$50,0)))</x:f>
        <x:v>126</x:v>
      </x:c>
      <x:c r="F58" s="2" t="n">
        <x:f>IF(INDEX('Site_Comparison'!$Q$2:$Q$50,MATCH($A58,'Site_Comparison'!$A$2:$A$50,0)),1,0)</x:f>
        <x:v>1</x:v>
      </x:c>
      <x:c r="G58" s="9" t="n">
        <x:f>D58-C58</x:f>
        <x:v>-30.574844294998897</x:v>
      </x:c>
      <x:c r="H58" s="9" t="n">
        <x:f>ABS(G58)</x:f>
        <x:v>30.574844294998897</x:v>
      </x:c>
      <x:c r="I58" s="9" t="n">
        <x:f>G58^2</x:f>
        <x:v>934.8211036634266</x:v>
      </x:c>
      <x:c r="J58" s="9" t="n">
        <x:f>IF(ISNUMBER(E58),E58-C58,"")</x:f>
        <x:v>34.3333333333333</x:v>
      </x:c>
      <x:c r="K58" s="9" t="n">
        <x:f>IF(ISNUMBER(J58),ABS(J58),"")</x:f>
        <x:v>34.3333333333333</x:v>
      </x:c>
      <x:c r="L58" s="9" t="n">
        <x:f>IF(ISNUMBER(J58),J58^2,"")</x:f>
        <x:v>1178.7777777777756</x:v>
      </x:c>
      <x:c r="M58" s="2"/>
    </x:row>
    <x:row r="59" ht="22" customHeight="1">
      <x:c r="A59" s="2" t="str">
        <x:v>250303-13</x:v>
      </x:c>
      <x:c r="B59" s="2" t="str">
        <x:v>Along-road</x:v>
      </x:c>
      <x:c r="C59" s="9" t="n">
        <x:f>INDEX('Site_Comparison'!$L$2:$L$50,MATCH($A59,'Site_Comparison'!$A$2:$A$50,0))</x:f>
        <x:v>12.3333333333333</x:v>
      </x:c>
      <x:c r="D59" s="9" t="n">
        <x:f>INDEX('Site_Comparison'!$M$2:$M$50,MATCH($A59,'Site_Comparison'!$A$2:$A$50,0))</x:f>
        <x:v>39.2425400796142</x:v>
      </x:c>
      <x:c r="E59" s="9" t="n">
        <x:f>IF(ISBLANK(INDEX('Site_Comparison'!$N$2:$N$50,MATCH($A59,'Site_Comparison'!$A$2:$A$50,0))),"",INDEX('Site_Comparison'!$N$2:$N$50,MATCH($A59,'Site_Comparison'!$A$2:$A$50,0)))</x:f>
        <x:v>126</x:v>
      </x:c>
      <x:c r="F59" s="2" t="n">
        <x:f>IF(INDEX('Site_Comparison'!$Q$2:$Q$50,MATCH($A59,'Site_Comparison'!$A$2:$A$50,0)),1,0)</x:f>
        <x:v>1</x:v>
      </x:c>
      <x:c r="G59" s="9" t="n">
        <x:f>D59-C59</x:f>
        <x:v>26.9092067462809</x:v>
      </x:c>
      <x:c r="H59" s="9" t="n">
        <x:f>ABS(G59)</x:f>
        <x:v>26.9092067462809</x:v>
      </x:c>
      <x:c r="I59" s="9" t="n">
        <x:f>G59^2</x:f>
        <x:v>724.1054077140896</x:v>
      </x:c>
      <x:c r="J59" s="9" t="n">
        <x:f>IF(ISNUMBER(E59),E59-C59,"")</x:f>
        <x:v>113.6666666666667</x:v>
      </x:c>
      <x:c r="K59" s="9" t="n">
        <x:f>IF(ISNUMBER(J59),ABS(J59),"")</x:f>
        <x:v>113.6666666666667</x:v>
      </x:c>
      <x:c r="L59" s="9" t="n">
        <x:f>IF(ISNUMBER(J59),J59^2,"")</x:f>
        <x:v>12920.111111111119</x:v>
      </x:c>
      <x:c r="M59" s="2"/>
    </x:row>
    <x:row r="60" ht="22" customHeight="1">
      <x:c r="A60" s="2" t="str">
        <x:v>250303-14</x:v>
      </x:c>
      <x:c r="B60" s="2" t="str">
        <x:v>Along-road</x:v>
      </x:c>
      <x:c r="C60" s="9" t="n">
        <x:f>INDEX('Site_Comparison'!$L$2:$L$50,MATCH($A60,'Site_Comparison'!$A$2:$A$50,0))</x:f>
        <x:v>30.6666666666667</x:v>
      </x:c>
      <x:c r="D60" s="9" t="n">
        <x:f>INDEX('Site_Comparison'!$M$2:$M$50,MATCH($A60,'Site_Comparison'!$A$2:$A$50,0))</x:f>
        <x:v>39.2425400796142</x:v>
      </x:c>
      <x:c r="E60" s="9" t="n">
        <x:f>IF(ISBLANK(INDEX('Site_Comparison'!$N$2:$N$50,MATCH($A60,'Site_Comparison'!$A$2:$A$50,0))),"",INDEX('Site_Comparison'!$N$2:$N$50,MATCH($A60,'Site_Comparison'!$A$2:$A$50,0)))</x:f>
        <x:v>96</x:v>
      </x:c>
      <x:c r="F60" s="2" t="n">
        <x:f>IF(INDEX('Site_Comparison'!$Q$2:$Q$50,MATCH($A60,'Site_Comparison'!$A$2:$A$50,0)),1,0)</x:f>
        <x:v>1</x:v>
      </x:c>
      <x:c r="G60" s="9" t="n">
        <x:f>D60-C60</x:f>
        <x:v>8.575873412947502</x:v>
      </x:c>
      <x:c r="H60" s="9" t="n">
        <x:f>ABS(G60)</x:f>
        <x:v>8.575873412947502</x:v>
      </x:c>
      <x:c r="I60" s="9" t="n">
        <x:f>G60^2</x:f>
        <x:v>73.54560479489983</x:v>
      </x:c>
      <x:c r="J60" s="9" t="n">
        <x:f>IF(ISNUMBER(E60),E60-C60,"")</x:f>
        <x:v>65.3333333333333</x:v>
      </x:c>
      <x:c r="K60" s="9" t="n">
        <x:f>IF(ISNUMBER(J60),ABS(J60),"")</x:f>
        <x:v>65.3333333333333</x:v>
      </x:c>
      <x:c r="L60" s="9" t="n">
        <x:f>IF(ISNUMBER(J60),J60^2,"")</x:f>
        <x:v>4268.44444444444</x:v>
      </x:c>
      <x:c r="M60" s="2"/>
    </x:row>
    <x:row r="61" ht="22" customHeight="1">
      <x:c r="A61" s="2" t="str">
        <x:v>250303-16</x:v>
      </x:c>
      <x:c r="B61" s="2" t="str">
        <x:v>Along-road</x:v>
      </x:c>
      <x:c r="C61" s="9" t="n">
        <x:f>INDEX('Site_Comparison'!$L$2:$L$50,MATCH($A61,'Site_Comparison'!$A$2:$A$50,0))</x:f>
        <x:v>30.6666666666667</x:v>
      </x:c>
      <x:c r="D61" s="9" t="n">
        <x:f>INDEX('Site_Comparison'!$M$2:$M$50,MATCH($A61,'Site_Comparison'!$A$2:$A$50,0))</x:f>
        <x:v>14.8642185388526</x:v>
      </x:c>
      <x:c r="E61" s="9" t="n">
        <x:f>IF(ISBLANK(INDEX('Site_Comparison'!$N$2:$N$50,MATCH($A61,'Site_Comparison'!$A$2:$A$50,0))),"",INDEX('Site_Comparison'!$N$2:$N$50,MATCH($A61,'Site_Comparison'!$A$2:$A$50,0)))</x:f>
        <x:v>78</x:v>
      </x:c>
      <x:c r="F61" s="2" t="n">
        <x:f>IF(INDEX('Site_Comparison'!$Q$2:$Q$50,MATCH($A61,'Site_Comparison'!$A$2:$A$50,0)),1,0)</x:f>
        <x:v>1</x:v>
      </x:c>
      <x:c r="G61" s="9" t="n">
        <x:f>D61-C61</x:f>
        <x:v>-15.8024481278141</x:v>
      </x:c>
      <x:c r="H61" s="9" t="n">
        <x:f>ABS(G61)</x:f>
        <x:v>15.8024481278141</x:v>
      </x:c>
      <x:c r="I61" s="9" t="n">
        <x:f>G61^2</x:f>
        <x:v>249.71736683225538</x:v>
      </x:c>
      <x:c r="J61" s="9" t="n">
        <x:f>IF(ISNUMBER(E61),E61-C61,"")</x:f>
        <x:v>47.3333333333333</x:v>
      </x:c>
      <x:c r="K61" s="9" t="n">
        <x:f>IF(ISNUMBER(J61),ABS(J61),"")</x:f>
        <x:v>47.3333333333333</x:v>
      </x:c>
      <x:c r="L61" s="9" t="n">
        <x:f>IF(ISNUMBER(J61),J61^2,"")</x:f>
        <x:v>2240.444444444441</x:v>
      </x:c>
      <x:c r="M61" s="2"/>
    </x:row>
    <x:row r="62" ht="22" customHeight="1">
      <x:c r="A62" s="2" t="str">
        <x:v>250303-17</x:v>
      </x:c>
      <x:c r="B62" s="2" t="str">
        <x:v>Along-road</x:v>
      </x:c>
      <x:c r="C62" s="9" t="n">
        <x:f>INDEX('Site_Comparison'!$L$2:$L$50,MATCH($A62,'Site_Comparison'!$A$2:$A$50,0))</x:f>
        <x:v>10</x:v>
      </x:c>
      <x:c r="D62" s="9" t="n">
        <x:f>INDEX('Site_Comparison'!$M$2:$M$50,MATCH($A62,'Site_Comparison'!$A$2:$A$50,0))</x:f>
        <x:v>6.00867163249303</x:v>
      </x:c>
      <x:c r="E62" s="9" t="n">
        <x:f>IF(ISBLANK(INDEX('Site_Comparison'!$N$2:$N$50,MATCH($A62,'Site_Comparison'!$A$2:$A$50,0))),"",INDEX('Site_Comparison'!$N$2:$N$50,MATCH($A62,'Site_Comparison'!$A$2:$A$50,0)))</x:f>
        <x:v>18.6666666666667</x:v>
      </x:c>
      <x:c r="F62" s="2" t="n">
        <x:f>IF(INDEX('Site_Comparison'!$Q$2:$Q$50,MATCH($A62,'Site_Comparison'!$A$2:$A$50,0)),1,0)</x:f>
        <x:v>1</x:v>
      </x:c>
      <x:c r="G62" s="9" t="n">
        <x:f>D62-C62</x:f>
        <x:v>-3.99132836750697</x:v>
      </x:c>
      <x:c r="H62" s="9" t="n">
        <x:f>ABS(G62)</x:f>
        <x:v>3.99132836750697</x:v>
      </x:c>
      <x:c r="I62" s="9" t="n">
        <x:f>G62^2</x:f>
        <x:v>15.930702137265854</x:v>
      </x:c>
      <x:c r="J62" s="9" t="n">
        <x:f>IF(ISNUMBER(E62),E62-C62,"")</x:f>
        <x:v>8.6666666666667</x:v>
      </x:c>
      <x:c r="K62" s="9" t="n">
        <x:f>IF(ISNUMBER(J62),ABS(J62),"")</x:f>
        <x:v>8.6666666666667</x:v>
      </x:c>
      <x:c r="L62" s="9" t="n">
        <x:f>IF(ISNUMBER(J62),J62^2,"")</x:f>
        <x:v>75.11111111111168</x:v>
      </x:c>
      <x:c r="M62" s="2"/>
    </x:row>
    <x:row r="63" ht="22" customHeight="1">
      <x:c r="A63" s="2" t="str">
        <x:v>250341-02</x:v>
      </x:c>
      <x:c r="B63" s="2" t="str">
        <x:v>Along-road</x:v>
      </x:c>
      <x:c r="C63" s="9" t="n">
        <x:f>INDEX('Site_Comparison'!$L$2:$L$50,MATCH($A63,'Site_Comparison'!$A$2:$A$50,0))</x:f>
        <x:v>10</x:v>
      </x:c>
      <x:c r="D63" s="9" t="n">
        <x:f>INDEX('Site_Comparison'!$M$2:$M$50,MATCH($A63,'Site_Comparison'!$A$2:$A$50,0))</x:f>
        <x:v>7.20994785361989</x:v>
      </x:c>
      <x:c r="E63" s="9" t="n">
        <x:f>IF(ISBLANK(INDEX('Site_Comparison'!$N$2:$N$50,MATCH($A63,'Site_Comparison'!$A$2:$A$50,0))),"",INDEX('Site_Comparison'!$N$2:$N$50,MATCH($A63,'Site_Comparison'!$A$2:$A$50,0)))</x:f>
        <x:v>20</x:v>
      </x:c>
      <x:c r="F63" s="2" t="n">
        <x:f>IF(INDEX('Site_Comparison'!$Q$2:$Q$50,MATCH($A63,'Site_Comparison'!$A$2:$A$50,0)),1,0)</x:f>
        <x:v>1</x:v>
      </x:c>
      <x:c r="G63" s="9" t="n">
        <x:f>D63-C63</x:f>
        <x:v>-2.79005214638011</x:v>
      </x:c>
      <x:c r="H63" s="9" t="n">
        <x:f>ABS(G63)</x:f>
        <x:v>2.79005214638011</x:v>
      </x:c>
      <x:c r="I63" s="9" t="n">
        <x:f>G63^2</x:f>
        <x:v>7.784390979520259</x:v>
      </x:c>
      <x:c r="J63" s="9" t="n">
        <x:f>IF(ISNUMBER(E63),E63-C63,"")</x:f>
        <x:v>10</x:v>
      </x:c>
      <x:c r="K63" s="9" t="n">
        <x:f>IF(ISNUMBER(J63),ABS(J63),"")</x:f>
        <x:v>10</x:v>
      </x:c>
      <x:c r="L63" s="9" t="n">
        <x:f>IF(ISNUMBER(J63),J63^2,"")</x:f>
        <x:v>100</x:v>
      </x:c>
      <x:c r="M63" s="2"/>
    </x:row>
    <x:row r="64" ht="22" customHeight="1">
      <x:c r="A64" s="2" t="str">
        <x:v>250341-03</x:v>
      </x:c>
      <x:c r="B64" s="2" t="str">
        <x:v>Along-road</x:v>
      </x:c>
      <x:c r="C64" s="9" t="n">
        <x:f>INDEX('Site_Comparison'!$L$2:$L$50,MATCH($A64,'Site_Comparison'!$A$2:$A$50,0))</x:f>
        <x:v>15.6666666666667</x:v>
      </x:c>
      <x:c r="D64" s="9" t="n">
        <x:f>INDEX('Site_Comparison'!$M$2:$M$50,MATCH($A64,'Site_Comparison'!$A$2:$A$50,0))</x:f>
        <x:v>6.83082850973876</x:v>
      </x:c>
      <x:c r="E64" s="9" t="n">
        <x:f>IF(ISBLANK(INDEX('Site_Comparison'!$N$2:$N$50,MATCH($A64,'Site_Comparison'!$A$2:$A$50,0))),"",INDEX('Site_Comparison'!$N$2:$N$50,MATCH($A64,'Site_Comparison'!$A$2:$A$50,0)))</x:f>
        <x:v>39</x:v>
      </x:c>
      <x:c r="F64" s="2" t="n">
        <x:f>IF(INDEX('Site_Comparison'!$Q$2:$Q$50,MATCH($A64,'Site_Comparison'!$A$2:$A$50,0)),1,0)</x:f>
        <x:v>1</x:v>
      </x:c>
      <x:c r="G64" s="9" t="n">
        <x:f>D64-C64</x:f>
        <x:v>-8.83583815692794</x:v>
      </x:c>
      <x:c r="H64" s="9" t="n">
        <x:f>ABS(G64)</x:f>
        <x:v>8.83583815692794</x:v>
      </x:c>
      <x:c r="I64" s="9" t="n">
        <x:f>G64^2</x:f>
        <x:v>78.07203593542373</x:v>
      </x:c>
      <x:c r="J64" s="9" t="n">
        <x:f>IF(ISNUMBER(E64),E64-C64,"")</x:f>
        <x:v>23.3333333333333</x:v>
      </x:c>
      <x:c r="K64" s="9" t="n">
        <x:f>IF(ISNUMBER(J64),ABS(J64),"")</x:f>
        <x:v>23.3333333333333</x:v>
      </x:c>
      <x:c r="L64" s="9" t="n">
        <x:f>IF(ISNUMBER(J64),J64^2,"")</x:f>
        <x:v>544.4444444444429</x:v>
      </x:c>
      <x:c r="M64" s="2"/>
    </x:row>
    <x:row r="65" ht="22" customHeight="1">
      <x:c r="A65" s="2" t="str">
        <x:v>250341-04</x:v>
      </x:c>
      <x:c r="B65" s="2" t="str">
        <x:v>Along-road</x:v>
      </x:c>
      <x:c r="C65" s="9" t="n">
        <x:f>INDEX('Site_Comparison'!$L$2:$L$50,MATCH($A65,'Site_Comparison'!$A$2:$A$50,0))</x:f>
        <x:v>17.3333333333333</x:v>
      </x:c>
      <x:c r="D65" s="9" t="n">
        <x:f>INDEX('Site_Comparison'!$M$2:$M$50,MATCH($A65,'Site_Comparison'!$A$2:$A$50,0))</x:f>
        <x:v>5.97209393210123</x:v>
      </x:c>
      <x:c r="E65" s="9" t="n">
        <x:f>IF(ISBLANK(INDEX('Site_Comparison'!$N$2:$N$50,MATCH($A65,'Site_Comparison'!$A$2:$A$50,0))),"",INDEX('Site_Comparison'!$N$2:$N$50,MATCH($A65,'Site_Comparison'!$A$2:$A$50,0)))</x:f>
        <x:v>150</x:v>
      </x:c>
      <x:c r="F65" s="2" t="n">
        <x:f>IF(INDEX('Site_Comparison'!$Q$2:$Q$50,MATCH($A65,'Site_Comparison'!$A$2:$A$50,0)),1,0)</x:f>
        <x:v>1</x:v>
      </x:c>
      <x:c r="G65" s="9" t="n">
        <x:f>D65-C65</x:f>
        <x:v>-11.36123940123207</x:v>
      </x:c>
      <x:c r="H65" s="9" t="n">
        <x:f>ABS(G65)</x:f>
        <x:v>11.36123940123207</x:v>
      </x:c>
      <x:c r="I65" s="9" t="n">
        <x:f>G65^2</x:f>
        <x:v>129.07776073210803</x:v>
      </x:c>
      <x:c r="J65" s="9" t="n">
        <x:f>IF(ISNUMBER(E65),E65-C65,"")</x:f>
        <x:v>132.66666666666669</x:v>
      </x:c>
      <x:c r="K65" s="9" t="n">
        <x:f>IF(ISNUMBER(J65),ABS(J65),"")</x:f>
        <x:v>132.66666666666669</x:v>
      </x:c>
      <x:c r="L65" s="9" t="n">
        <x:f>IF(ISNUMBER(J65),J65^2,"")</x:f>
        <x:v>17600.44444444445</x:v>
      </x:c>
      <x:c r="M65" s="2"/>
    </x:row>
    <x:row r="66" ht="22" customHeight="1">
      <x:c r="A66" s="2" t="str">
        <x:v>250341-05</x:v>
      </x:c>
      <x:c r="B66" s="2" t="str">
        <x:v>Along-road</x:v>
      </x:c>
      <x:c r="C66" s="9" t="n">
        <x:f>INDEX('Site_Comparison'!$L$2:$L$50,MATCH($A66,'Site_Comparison'!$A$2:$A$50,0))</x:f>
        <x:v>0.666666666666667</x:v>
      </x:c>
      <x:c r="D66" s="9" t="n">
        <x:f>INDEX('Site_Comparison'!$M$2:$M$50,MATCH($A66,'Site_Comparison'!$A$2:$A$50,0))</x:f>
        <x:v>6.87273556642884</x:v>
      </x:c>
      <x:c r="E66" s="9" t="n">
        <x:f>IF(ISBLANK(INDEX('Site_Comparison'!$N$2:$N$50,MATCH($A66,'Site_Comparison'!$A$2:$A$50,0))),"",INDEX('Site_Comparison'!$N$2:$N$50,MATCH($A66,'Site_Comparison'!$A$2:$A$50,0)))</x:f>
        <x:v>15</x:v>
      </x:c>
      <x:c r="F66" s="2" t="n">
        <x:f>IF(INDEX('Site_Comparison'!$Q$2:$Q$50,MATCH($A66,'Site_Comparison'!$A$2:$A$50,0)),1,0)</x:f>
        <x:v>1</x:v>
      </x:c>
      <x:c r="G66" s="9" t="n">
        <x:f>D66-C66</x:f>
        <x:v>6.206068899762173</x:v>
      </x:c>
      <x:c r="H66" s="9" t="n">
        <x:f>ABS(G66)</x:f>
        <x:v>6.206068899762173</x:v>
      </x:c>
      <x:c r="I66" s="9" t="n">
        <x:f>G66^2</x:f>
        <x:v>38.51529118859527</x:v>
      </x:c>
      <x:c r="J66" s="9" t="n">
        <x:f>IF(ISNUMBER(E66),E66-C66,"")</x:f>
        <x:v>14.333333333333332</x:v>
      </x:c>
      <x:c r="K66" s="9" t="n">
        <x:f>IF(ISNUMBER(J66),ABS(J66),"")</x:f>
        <x:v>14.333333333333332</x:v>
      </x:c>
      <x:c r="L66" s="9" t="n">
        <x:f>IF(ISNUMBER(J66),J66^2,"")</x:f>
        <x:v>205.4444444444444</x:v>
      </x:c>
      <x:c r="M66" s="2"/>
    </x:row>
    <x:row r="67" ht="22" customHeight="1">
      <x:c r="A67" s="2" t="str">
        <x:v>250341-06</x:v>
      </x:c>
      <x:c r="B67" s="2" t="str">
        <x:v>Along-road</x:v>
      </x:c>
      <x:c r="C67" s="9" t="n">
        <x:f>INDEX('Site_Comparison'!$L$2:$L$50,MATCH($A67,'Site_Comparison'!$A$2:$A$50,0))</x:f>
        <x:v>1.33333333333333</x:v>
      </x:c>
      <x:c r="D67" s="9" t="n">
        <x:f>INDEX('Site_Comparison'!$M$2:$M$50,MATCH($A67,'Site_Comparison'!$A$2:$A$50,0))</x:f>
        <x:v>8.67327121508976</x:v>
      </x:c>
      <x:c r="E67" s="9" t="n">
        <x:f>IF(ISBLANK(INDEX('Site_Comparison'!$N$2:$N$50,MATCH($A67,'Site_Comparison'!$A$2:$A$50,0))),"",INDEX('Site_Comparison'!$N$2:$N$50,MATCH($A67,'Site_Comparison'!$A$2:$A$50,0)))</x:f>
        <x:v>8.83333333333333</x:v>
      </x:c>
      <x:c r="F67" s="2" t="n">
        <x:f>IF(INDEX('Site_Comparison'!$Q$2:$Q$50,MATCH($A67,'Site_Comparison'!$A$2:$A$50,0)),1,0)</x:f>
        <x:v>1</x:v>
      </x:c>
      <x:c r="G67" s="9" t="n">
        <x:f>D67-C67</x:f>
        <x:v>7.3399378817564305</x:v>
      </x:c>
      <x:c r="H67" s="9" t="n">
        <x:f>ABS(G67)</x:f>
        <x:v>7.3399378817564305</x:v>
      </x:c>
      <x:c r="I67" s="9" t="n">
        <x:f>G67^2</x:f>
        <x:v>53.874688108043074</x:v>
      </x:c>
      <x:c r="J67" s="9" t="n">
        <x:f>IF(ISNUMBER(E67),E67-C67,"")</x:f>
        <x:v>7.5</x:v>
      </x:c>
      <x:c r="K67" s="9" t="n">
        <x:f>IF(ISNUMBER(J67),ABS(J67),"")</x:f>
        <x:v>7.5</x:v>
      </x:c>
      <x:c r="L67" s="9" t="n">
        <x:f>IF(ISNUMBER(J67),J67^2,"")</x:f>
        <x:v>56.25</x:v>
      </x:c>
      <x:c r="M67" s="2"/>
    </x:row>
    <x:row r="68" ht="22" customHeight="1">
      <x:c r="A68" s="2" t="str">
        <x:v>250341-07</x:v>
      </x:c>
      <x:c r="B68" s="2" t="str">
        <x:v>Along-road</x:v>
      </x:c>
      <x:c r="C68" s="9" t="n">
        <x:f>INDEX('Site_Comparison'!$L$2:$L$50,MATCH($A68,'Site_Comparison'!$A$2:$A$50,0))</x:f>
        <x:v>28</x:v>
      </x:c>
      <x:c r="D68" s="9" t="n">
        <x:f>INDEX('Site_Comparison'!$M$2:$M$50,MATCH($A68,'Site_Comparison'!$A$2:$A$50,0))</x:f>
        <x:v>12.2059027990662</x:v>
      </x:c>
      <x:c r="E68" s="9" t="n">
        <x:f>IF(ISBLANK(INDEX('Site_Comparison'!$N$2:$N$50,MATCH($A68,'Site_Comparison'!$A$2:$A$50,0))),"",INDEX('Site_Comparison'!$N$2:$N$50,MATCH($A68,'Site_Comparison'!$A$2:$A$50,0)))</x:f>
        <x:v>39</x:v>
      </x:c>
      <x:c r="F68" s="2" t="n">
        <x:f>IF(INDEX('Site_Comparison'!$Q$2:$Q$50,MATCH($A68,'Site_Comparison'!$A$2:$A$50,0)),1,0)</x:f>
        <x:v>1</x:v>
      </x:c>
      <x:c r="G68" s="9" t="n">
        <x:f>D68-C68</x:f>
        <x:v>-15.7940972009338</x:v>
      </x:c>
      <x:c r="H68" s="9" t="n">
        <x:f>ABS(G68)</x:f>
        <x:v>15.7940972009338</x:v>
      </x:c>
      <x:c r="I68" s="9" t="n">
        <x:f>G68^2</x:f>
        <x:v>249.4535063925449</x:v>
      </x:c>
      <x:c r="J68" s="9" t="n">
        <x:f>IF(ISNUMBER(E68),E68-C68,"")</x:f>
        <x:v>11</x:v>
      </x:c>
      <x:c r="K68" s="9" t="n">
        <x:f>IF(ISNUMBER(J68),ABS(J68),"")</x:f>
        <x:v>11</x:v>
      </x:c>
      <x:c r="L68" s="9" t="n">
        <x:f>IF(ISNUMBER(J68),J68^2,"")</x:f>
        <x:v>121</x:v>
      </x:c>
      <x:c r="M68" s="2"/>
    </x:row>
    <x:row r="69" ht="22" customHeight="1">
      <x:c r="A69" s="2" t="str">
        <x:v>260335-28</x:v>
      </x:c>
      <x:c r="B69" s="2" t="str">
        <x:v>Along-road</x:v>
      </x:c>
      <x:c r="C69" s="9" t="n">
        <x:f>INDEX('Site_Comparison'!$L$2:$L$50,MATCH($A69,'Site_Comparison'!$A$2:$A$50,0))</x:f>
        <x:v>11.6666666666667</x:v>
      </x:c>
      <x:c r="D69" s="9" t="n">
        <x:f>INDEX('Site_Comparison'!$M$2:$M$50,MATCH($A69,'Site_Comparison'!$A$2:$A$50,0))</x:f>
        <x:v>13.2027163119535</x:v>
      </x:c>
      <x:c r="E69" s="9" t="n">
        <x:f>IF(ISBLANK(INDEX('Site_Comparison'!$N$2:$N$50,MATCH($A69,'Site_Comparison'!$A$2:$A$50,0))),"",INDEX('Site_Comparison'!$N$2:$N$50,MATCH($A69,'Site_Comparison'!$A$2:$A$50,0)))</x:f>
        <x:v>126</x:v>
      </x:c>
      <x:c r="F69" s="2" t="n">
        <x:f>IF(INDEX('Site_Comparison'!$Q$2:$Q$50,MATCH($A69,'Site_Comparison'!$A$2:$A$50,0)),1,0)</x:f>
        <x:v>1</x:v>
      </x:c>
      <x:c r="G69" s="9" t="n">
        <x:f>D69-C69</x:f>
        <x:v>1.5360496452868002</x:v>
      </x:c>
      <x:c r="H69" s="9" t="n">
        <x:f>ABS(G69)</x:f>
        <x:v>1.5360496452868002</x:v>
      </x:c>
      <x:c r="I69" s="9" t="n">
        <x:f>G69^2</x:f>
        <x:v>2.3594485127857046</x:v>
      </x:c>
      <x:c r="J69" s="9" t="n">
        <x:f>IF(ISNUMBER(E69),E69-C69,"")</x:f>
        <x:v>114.3333333333333</x:v>
      </x:c>
      <x:c r="K69" s="9" t="n">
        <x:f>IF(ISNUMBER(J69),ABS(J69),"")</x:f>
        <x:v>114.3333333333333</x:v>
      </x:c>
      <x:c r="L69" s="9" t="n">
        <x:f>IF(ISNUMBER(J69),J69^2,"")</x:f>
        <x:v>13072.111111111104</x:v>
      </x:c>
      <x:c r="M69" s="2"/>
    </x:row>
    <x:row r="70" ht="22" customHeight="1">
      <x:c r="A70" s="2" t="str">
        <x:v>260335-29</x:v>
      </x:c>
      <x:c r="B70" s="2" t="str">
        <x:v>Along-road</x:v>
      </x:c>
      <x:c r="C70" s="9" t="n">
        <x:f>INDEX('Site_Comparison'!$L$2:$L$50,MATCH($A70,'Site_Comparison'!$A$2:$A$50,0))</x:f>
        <x:v>10.6666666666667</x:v>
      </x:c>
      <x:c r="D70" s="9" t="n">
        <x:f>INDEX('Site_Comparison'!$M$2:$M$50,MATCH($A70,'Site_Comparison'!$A$2:$A$50,0))</x:f>
        <x:v>8.96871215495587</x:v>
      </x:c>
      <x:c r="E70" s="9" t="n">
        <x:f>IF(ISBLANK(INDEX('Site_Comparison'!$N$2:$N$50,MATCH($A70,'Site_Comparison'!$A$2:$A$50,0))),"",INDEX('Site_Comparison'!$N$2:$N$50,MATCH($A70,'Site_Comparison'!$A$2:$A$50,0)))</x:f>
        <x:v>5</x:v>
      </x:c>
      <x:c r="F70" s="2" t="n">
        <x:f>IF(INDEX('Site_Comparison'!$Q$2:$Q$50,MATCH($A70,'Site_Comparison'!$A$2:$A$50,0)),1,0)</x:f>
        <x:v>1</x:v>
      </x:c>
      <x:c r="G70" s="9" t="n">
        <x:f>D70-C70</x:f>
        <x:v>-1.6979545117108295</x:v>
      </x:c>
      <x:c r="H70" s="9" t="n">
        <x:f>ABS(G70)</x:f>
        <x:v>1.6979545117108295</x:v>
      </x:c>
      <x:c r="I70" s="9" t="n">
        <x:f>G70^2</x:f>
        <x:v>2.883049523839161</x:v>
      </x:c>
      <x:c r="J70" s="9" t="n">
        <x:f>IF(ISNUMBER(E70),E70-C70,"")</x:f>
        <x:v>-5.6666666666667</x:v>
      </x:c>
      <x:c r="K70" s="9" t="n">
        <x:f>IF(ISNUMBER(J70),ABS(J70),"")</x:f>
        <x:v>5.6666666666667</x:v>
      </x:c>
      <x:c r="L70" s="9" t="n">
        <x:f>IF(ISNUMBER(J70),J70^2,"")</x:f>
        <x:v>32.111111111111484</x:v>
      </x:c>
      <x:c r="M70" s="2"/>
    </x:row>
    <x:row r="71" ht="22" customHeight="1">
      <x:c r="A71" s="2" t="str">
        <x:v>260335-30</x:v>
      </x:c>
      <x:c r="B71" s="2" t="str">
        <x:v>Along-road</x:v>
      </x:c>
      <x:c r="C71" s="9" t="n">
        <x:f>INDEX('Site_Comparison'!$L$2:$L$50,MATCH($A71,'Site_Comparison'!$A$2:$A$50,0))</x:f>
        <x:v>1.66666666666667</x:v>
      </x:c>
      <x:c r="D71" s="9" t="n">
        <x:f>INDEX('Site_Comparison'!$M$2:$M$50,MATCH($A71,'Site_Comparison'!$A$2:$A$50,0))</x:f>
        <x:v>12.2059027990662</x:v>
      </x:c>
      <x:c r="E71" s="9" t="n">
        <x:f>IF(ISBLANK(INDEX('Site_Comparison'!$N$2:$N$50,MATCH($A71,'Site_Comparison'!$A$2:$A$50,0))),"",INDEX('Site_Comparison'!$N$2:$N$50,MATCH($A71,'Site_Comparison'!$A$2:$A$50,0)))</x:f>
        <x:v>30</x:v>
      </x:c>
      <x:c r="F71" s="2" t="n">
        <x:f>IF(INDEX('Site_Comparison'!$Q$2:$Q$50,MATCH($A71,'Site_Comparison'!$A$2:$A$50,0)),1,0)</x:f>
        <x:v>1</x:v>
      </x:c>
      <x:c r="G71" s="9" t="n">
        <x:f>D71-C71</x:f>
        <x:v>10.53923613239953</x:v>
      </x:c>
      <x:c r="H71" s="9" t="n">
        <x:f>ABS(G71)</x:f>
        <x:v>10.53923613239953</x:v>
      </x:c>
      <x:c r="I71" s="9" t="n">
        <x:f>G71^2</x:f>
        <x:v>111.0754982544758</x:v>
      </x:c>
      <x:c r="J71" s="9" t="n">
        <x:f>IF(ISNUMBER(E71),E71-C71,"")</x:f>
        <x:v>28.33333333333333</x:v>
      </x:c>
      <x:c r="K71" s="9" t="n">
        <x:f>IF(ISNUMBER(J71),ABS(J71),"")</x:f>
        <x:v>28.33333333333333</x:v>
      </x:c>
      <x:c r="L71" s="9" t="n">
        <x:f>IF(ISNUMBER(J71),J71^2,"")</x:f>
        <x:v>802.7777777777775</x:v>
      </x:c>
      <x:c r="M71" s="2"/>
    </x:row>
    <x:row r="72" ht="22" customHeight="1">
      <x:c r="A72" s="2" t="str">
        <x:v>260335-33</x:v>
      </x:c>
      <x:c r="B72" s="2" t="str">
        <x:v>Along-road</x:v>
      </x:c>
      <x:c r="C72" s="9" t="n">
        <x:f>INDEX('Site_Comparison'!$L$2:$L$50,MATCH($A72,'Site_Comparison'!$A$2:$A$50,0))</x:f>
        <x:v>137.333333333333</x:v>
      </x:c>
      <x:c r="D72" s="9" t="n">
        <x:f>INDEX('Site_Comparison'!$M$2:$M$50,MATCH($A72,'Site_Comparison'!$A$2:$A$50,0))</x:f>
        <x:v>11.5887579024493</x:v>
      </x:c>
      <x:c r="E72" s="9" t="n">
        <x:f>IF(ISBLANK(INDEX('Site_Comparison'!$N$2:$N$50,MATCH($A72,'Site_Comparison'!$A$2:$A$50,0))),"",INDEX('Site_Comparison'!$N$2:$N$50,MATCH($A72,'Site_Comparison'!$A$2:$A$50,0)))</x:f>
        <x:v>11</x:v>
      </x:c>
      <x:c r="F72" s="2" t="n">
        <x:f>IF(INDEX('Site_Comparison'!$Q$2:$Q$50,MATCH($A72,'Site_Comparison'!$A$2:$A$50,0)),1,0)</x:f>
        <x:v>1</x:v>
      </x:c>
      <x:c r="G72" s="9" t="n">
        <x:f>D72-C72</x:f>
        <x:v>-125.7445754308837</x:v>
      </x:c>
      <x:c r="H72" s="9" t="n">
        <x:f>ABS(G72)</x:f>
        <x:v>125.7445754308837</x:v>
      </x:c>
      <x:c r="I72" s="9" t="n">
        <x:f>G72^2</x:f>
        <x:v>15811.6982502932</x:v>
      </x:c>
      <x:c r="J72" s="9" t="n">
        <x:f>IF(ISNUMBER(E72),E72-C72,"")</x:f>
        <x:v>-126.333333333333</x:v>
      </x:c>
      <x:c r="K72" s="9" t="n">
        <x:f>IF(ISNUMBER(J72),ABS(J72),"")</x:f>
        <x:v>126.333333333333</x:v>
      </x:c>
      <x:c r="L72" s="9" t="n">
        <x:f>IF(ISNUMBER(J72),J72^2,"")</x:f>
        <x:v>15960.111111111028</x:v>
      </x:c>
      <x:c r="M72" s="2"/>
    </x:row>
    <x:row r="73" ht="22" customHeight="1">
      <x:c r="A73" s="2" t="str">
        <x:v>260335-34</x:v>
      </x:c>
      <x:c r="B73" s="2" t="str">
        <x:v>Along-road</x:v>
      </x:c>
      <x:c r="C73" s="9" t="n">
        <x:f>INDEX('Site_Comparison'!$L$2:$L$50,MATCH($A73,'Site_Comparison'!$A$2:$A$50,0))</x:f>
        <x:v>3.66666666666667</x:v>
      </x:c>
      <x:c r="D73" s="9" t="n">
        <x:f>INDEX('Site_Comparison'!$M$2:$M$50,MATCH($A73,'Site_Comparison'!$A$2:$A$50,0))</x:f>
        <x:v>6.93652443789444</x:v>
      </x:c>
      <x:c r="E73" s="9" t="n">
        <x:f>IF(ISBLANK(INDEX('Site_Comparison'!$N$2:$N$50,MATCH($A73,'Site_Comparison'!$A$2:$A$50,0))),"",INDEX('Site_Comparison'!$N$2:$N$50,MATCH($A73,'Site_Comparison'!$A$2:$A$50,0)))</x:f>
        <x:v>30</x:v>
      </x:c>
      <x:c r="F73" s="2" t="n">
        <x:f>IF(INDEX('Site_Comparison'!$Q$2:$Q$50,MATCH($A73,'Site_Comparison'!$A$2:$A$50,0)),1,0)</x:f>
        <x:v>1</x:v>
      </x:c>
      <x:c r="G73" s="9" t="n">
        <x:f>D73-C73</x:f>
        <x:v>3.26985777122777</x:v>
      </x:c>
      <x:c r="H73" s="9" t="n">
        <x:f>ABS(G73)</x:f>
        <x:v>3.26985777122777</x:v>
      </x:c>
      <x:c r="I73" s="9" t="n">
        <x:f>G73^2</x:f>
        <x:v>10.69196984405864</x:v>
      </x:c>
      <x:c r="J73" s="9" t="n">
        <x:f>IF(ISNUMBER(E73),E73-C73,"")</x:f>
        <x:v>26.33333333333333</x:v>
      </x:c>
      <x:c r="K73" s="9" t="n">
        <x:f>IF(ISNUMBER(J73),ABS(J73),"")</x:f>
        <x:v>26.33333333333333</x:v>
      </x:c>
      <x:c r="L73" s="9" t="n">
        <x:f>IF(ISNUMBER(J73),J73^2,"")</x:f>
        <x:v>693.4444444444442</x:v>
      </x:c>
      <x:c r="M73" s="2"/>
    </x:row>
    <x:row r="74" ht="22" customHeight="1">
      <x:c r="A74" s="2" t="str">
        <x:v>260335-35</x:v>
      </x:c>
      <x:c r="B74" s="2" t="str">
        <x:v>Along-road</x:v>
      </x:c>
      <x:c r="C74" s="9" t="n">
        <x:f>INDEX('Site_Comparison'!$L$2:$L$50,MATCH($A74,'Site_Comparison'!$A$2:$A$50,0))</x:f>
        <x:v>126.333333333333</x:v>
      </x:c>
      <x:c r="D74" s="9" t="n">
        <x:f>INDEX('Site_Comparison'!$M$2:$M$50,MATCH($A74,'Site_Comparison'!$A$2:$A$50,0))</x:f>
        <x:v>97.0844411576612</x:v>
      </x:c>
      <x:c r="E74" s="9" t="n">
        <x:f>IF(ISBLANK(INDEX('Site_Comparison'!$N$2:$N$50,MATCH($A74,'Site_Comparison'!$A$2:$A$50,0))),"",INDEX('Site_Comparison'!$N$2:$N$50,MATCH($A74,'Site_Comparison'!$A$2:$A$50,0)))</x:f>
        <x:v>150</x:v>
      </x:c>
      <x:c r="F74" s="2" t="n">
        <x:f>IF(INDEX('Site_Comparison'!$Q$2:$Q$50,MATCH($A74,'Site_Comparison'!$A$2:$A$50,0)),1,0)</x:f>
        <x:v>1</x:v>
      </x:c>
      <x:c r="G74" s="9" t="n">
        <x:f>D74-C74</x:f>
        <x:v>-29.2488921756718</x:v>
      </x:c>
      <x:c r="H74" s="9" t="n">
        <x:f>ABS(G74)</x:f>
        <x:v>29.2488921756718</x:v>
      </x:c>
      <x:c r="I74" s="9" t="n">
        <x:f>G74^2</x:f>
        <x:v>855.497693504075</x:v>
      </x:c>
      <x:c r="J74" s="9" t="n">
        <x:f>IF(ISNUMBER(E74),E74-C74,"")</x:f>
        <x:v>23.666666666667</x:v>
      </x:c>
      <x:c r="K74" s="9" t="n">
        <x:f>IF(ISNUMBER(J74),ABS(J74),"")</x:f>
        <x:v>23.666666666667</x:v>
      </x:c>
      <x:c r="L74" s="9" t="n">
        <x:f>IF(ISNUMBER(J74),J74^2,"")</x:f>
        <x:v>560.1111111111268</x:v>
      </x:c>
      <x:c r="M74" s="2"/>
    </x:row>
    <x:row r="75" ht="22" customHeight="1">
      <x:c r="A75" s="2" t="str">
        <x:v>260335-36</x:v>
      </x:c>
      <x:c r="B75" s="2" t="str">
        <x:v>Along-road</x:v>
      </x:c>
      <x:c r="C75" s="9" t="n">
        <x:f>INDEX('Site_Comparison'!$L$2:$L$50,MATCH($A75,'Site_Comparison'!$A$2:$A$50,0))</x:f>
        <x:v>37.3333333333333</x:v>
      </x:c>
      <x:c r="D75" s="9" t="n">
        <x:f>INDEX('Site_Comparison'!$M$2:$M$50,MATCH($A75,'Site_Comparison'!$A$2:$A$50,0))</x:f>
        <x:v>16.4927830171191</x:v>
      </x:c>
      <x:c r="E75" s="9" t="n">
        <x:f>IF(ISBLANK(INDEX('Site_Comparison'!$N$2:$N$50,MATCH($A75,'Site_Comparison'!$A$2:$A$50,0))),"",INDEX('Site_Comparison'!$N$2:$N$50,MATCH($A75,'Site_Comparison'!$A$2:$A$50,0)))</x:f>
        <x:v>18</x:v>
      </x:c>
      <x:c r="F75" s="2" t="n">
        <x:f>IF(INDEX('Site_Comparison'!$Q$2:$Q$50,MATCH($A75,'Site_Comparison'!$A$2:$A$50,0)),1,0)</x:f>
        <x:v>1</x:v>
      </x:c>
      <x:c r="G75" s="9" t="n">
        <x:f>D75-C75</x:f>
        <x:v>-20.840550316214202</x:v>
      </x:c>
      <x:c r="H75" s="9" t="n">
        <x:f>ABS(G75)</x:f>
        <x:v>20.840550316214202</x:v>
      </x:c>
      <x:c r="I75" s="9" t="n">
        <x:f>G75^2</x:f>
        <x:v>434.32853748265586</x:v>
      </x:c>
      <x:c r="J75" s="9" t="n">
        <x:f>IF(ISNUMBER(E75),E75-C75,"")</x:f>
        <x:v>-19.3333333333333</x:v>
      </x:c>
      <x:c r="K75" s="9" t="n">
        <x:f>IF(ISNUMBER(J75),ABS(J75),"")</x:f>
        <x:v>19.3333333333333</x:v>
      </x:c>
      <x:c r="L75" s="9" t="n">
        <x:f>IF(ISNUMBER(J75),J75^2,"")</x:f>
        <x:v>373.7777777777765</x:v>
      </x:c>
      <x:c r="M75" s="2"/>
    </x:row>
    <x:row r="76" ht="22" customHeight="1">
      <x:c r="A76" s="2" t="str">
        <x:v>260335-37</x:v>
      </x:c>
      <x:c r="B76" s="2" t="str">
        <x:v>Along-road</x:v>
      </x:c>
      <x:c r="C76" s="9" t="n">
        <x:f>INDEX('Site_Comparison'!$L$2:$L$50,MATCH($A76,'Site_Comparison'!$A$2:$A$50,0))</x:f>
        <x:v>24</x:v>
      </x:c>
      <x:c r="D76" s="9" t="n">
        <x:f>INDEX('Site_Comparison'!$M$2:$M$50,MATCH($A76,'Site_Comparison'!$A$2:$A$50,0))</x:f>
        <x:v>12.2059027990662</x:v>
      </x:c>
      <x:c r="E76" s="9" t="n">
        <x:f>IF(ISBLANK(INDEX('Site_Comparison'!$N$2:$N$50,MATCH($A76,'Site_Comparison'!$A$2:$A$50,0))),"",INDEX('Site_Comparison'!$N$2:$N$50,MATCH($A76,'Site_Comparison'!$A$2:$A$50,0)))</x:f>
        <x:v>114</x:v>
      </x:c>
      <x:c r="F76" s="2" t="n">
        <x:f>IF(INDEX('Site_Comparison'!$Q$2:$Q$50,MATCH($A76,'Site_Comparison'!$A$2:$A$50,0)),1,0)</x:f>
        <x:v>1</x:v>
      </x:c>
      <x:c r="G76" s="9" t="n">
        <x:f>D76-C76</x:f>
        <x:v>-11.7940972009338</x:v>
      </x:c>
      <x:c r="H76" s="9" t="n">
        <x:f>ABS(G76)</x:f>
        <x:v>11.7940972009338</x:v>
      </x:c>
      <x:c r="I76" s="9" t="n">
        <x:f>G76^2</x:f>
        <x:v>139.1007287850745</x:v>
      </x:c>
      <x:c r="J76" s="9" t="n">
        <x:f>IF(ISNUMBER(E76),E76-C76,"")</x:f>
        <x:v>90</x:v>
      </x:c>
      <x:c r="K76" s="9" t="n">
        <x:f>IF(ISNUMBER(J76),ABS(J76),"")</x:f>
        <x:v>90</x:v>
      </x:c>
      <x:c r="L76" s="9" t="n">
        <x:f>IF(ISNUMBER(J76),J76^2,"")</x:f>
        <x:v>8100</x:v>
      </x:c>
      <x:c r="M76" s="2"/>
    </x:row>
    <x:row r="77" ht="22" customHeight="1">
      <x:c r="A77" s="2" t="str">
        <x:v>260335-39</x:v>
      </x:c>
      <x:c r="B77" s="2" t="str">
        <x:v>Along-road</x:v>
      </x:c>
      <x:c r="C77" s="9" t="n">
        <x:f>INDEX('Site_Comparison'!$L$2:$L$50,MATCH($A77,'Site_Comparison'!$A$2:$A$50,0))</x:f>
        <x:v>14.3333333333333</x:v>
      </x:c>
      <x:c r="D77" s="9" t="n">
        <x:f>INDEX('Site_Comparison'!$M$2:$M$50,MATCH($A77,'Site_Comparison'!$A$2:$A$50,0))</x:f>
        <x:v>13.2027163119535</x:v>
      </x:c>
      <x:c r="E77" s="9" t="n">
        <x:f>IF(ISBLANK(INDEX('Site_Comparison'!$N$2:$N$50,MATCH($A77,'Site_Comparison'!$A$2:$A$50,0))),"",INDEX('Site_Comparison'!$N$2:$N$50,MATCH($A77,'Site_Comparison'!$A$2:$A$50,0)))</x:f>
        <x:v>11</x:v>
      </x:c>
      <x:c r="F77" s="2" t="n">
        <x:f>IF(INDEX('Site_Comparison'!$Q$2:$Q$50,MATCH($A77,'Site_Comparison'!$A$2:$A$50,0)),1,0)</x:f>
        <x:v>1</x:v>
      </x:c>
      <x:c r="G77" s="9" t="n">
        <x:f>D77-C77</x:f>
        <x:v>-1.1306170213798001</x:v>
      </x:c>
      <x:c r="H77" s="9" t="n">
        <x:f>ABS(G77)</x:f>
        <x:v>1.1306170213798001</x:v>
      </x:c>
      <x:c r="I77" s="9" t="n">
        <x:f>G77^2</x:f>
        <x:v>1.2782948490337314</x:v>
      </x:c>
      <x:c r="J77" s="9" t="n">
        <x:f>IF(ISNUMBER(E77),E77-C77,"")</x:f>
        <x:v>-3.3333333333333</x:v>
      </x:c>
      <x:c r="K77" s="9" t="n">
        <x:f>IF(ISNUMBER(J77),ABS(J77),"")</x:f>
        <x:v>3.3333333333333</x:v>
      </x:c>
      <x:c r="L77" s="9" t="n">
        <x:f>IF(ISNUMBER(J77),J77^2,"")</x:f>
        <x:v>11.11111111111089</x:v>
      </x:c>
      <x:c r="M77" s="2"/>
    </x:row>
    <x:row r="78" ht="22" customHeight="1">
      <x:c r="A78" s="2" t="str">
        <x:v>260335-41</x:v>
      </x:c>
      <x:c r="B78" s="2" t="str">
        <x:v>Along-road</x:v>
      </x:c>
      <x:c r="C78" s="9" t="n">
        <x:f>INDEX('Site_Comparison'!$L$2:$L$50,MATCH($A78,'Site_Comparison'!$A$2:$A$50,0))</x:f>
        <x:v>14.3333333333333</x:v>
      </x:c>
      <x:c r="D78" s="9" t="n">
        <x:f>INDEX('Site_Comparison'!$M$2:$M$50,MATCH($A78,'Site_Comparison'!$A$2:$A$50,0))</x:f>
        <x:v>15.4039406574882</x:v>
      </x:c>
      <x:c r="E78" s="9" t="n">
        <x:f>IF(ISBLANK(INDEX('Site_Comparison'!$N$2:$N$50,MATCH($A78,'Site_Comparison'!$A$2:$A$50,0))),"",INDEX('Site_Comparison'!$N$2:$N$50,MATCH($A78,'Site_Comparison'!$A$2:$A$50,0)))</x:f>
        <x:v>110</x:v>
      </x:c>
      <x:c r="F78" s="2" t="n">
        <x:f>IF(INDEX('Site_Comparison'!$Q$2:$Q$50,MATCH($A78,'Site_Comparison'!$A$2:$A$50,0)),1,0)</x:f>
        <x:v>1</x:v>
      </x:c>
      <x:c r="G78" s="9" t="n">
        <x:f>D78-C78</x:f>
        <x:v>1.0706073241548992</x:v>
      </x:c>
      <x:c r="H78" s="9" t="n">
        <x:f>ABS(G78)</x:f>
        <x:v>1.0706073241548992</x:v>
      </x:c>
      <x:c r="I78" s="9" t="n">
        <x:f>G78^2</x:f>
        <x:v>1.1462000425341135</x:v>
      </x:c>
      <x:c r="J78" s="9" t="n">
        <x:f>IF(ISNUMBER(E78),E78-C78,"")</x:f>
        <x:v>95.6666666666667</x:v>
      </x:c>
      <x:c r="K78" s="9" t="n">
        <x:f>IF(ISNUMBER(J78),ABS(J78),"")</x:f>
        <x:v>95.6666666666667</x:v>
      </x:c>
      <x:c r="L78" s="9" t="n">
        <x:f>IF(ISNUMBER(J78),J78^2,"")</x:f>
        <x:v>9152.111111111117</x:v>
      </x:c>
      <x:c r="M78" s="2"/>
    </x:row>
    <x:row r="79" ht="22" customHeight="1">
      <x:c r="A79" s="2" t="str">
        <x:v>260335-42</x:v>
      </x:c>
      <x:c r="B79" s="2" t="str">
        <x:v>Along-road</x:v>
      </x:c>
      <x:c r="C79" s="9" t="n">
        <x:f>INDEX('Site_Comparison'!$L$2:$L$50,MATCH($A79,'Site_Comparison'!$A$2:$A$50,0))</x:f>
        <x:v>12</x:v>
      </x:c>
      <x:c r="D79" s="9" t="n">
        <x:f>INDEX('Site_Comparison'!$M$2:$M$50,MATCH($A79,'Site_Comparison'!$A$2:$A$50,0))</x:f>
        <x:v>9.57422478714234</x:v>
      </x:c>
      <x:c r="E79" s="9" t="n">
        <x:f>IF(ISBLANK(INDEX('Site_Comparison'!$N$2:$N$50,MATCH($A79,'Site_Comparison'!$A$2:$A$50,0))),"",INDEX('Site_Comparison'!$N$2:$N$50,MATCH($A79,'Site_Comparison'!$A$2:$A$50,0)))</x:f>
        <x:v>26</x:v>
      </x:c>
      <x:c r="F79" s="2" t="n">
        <x:f>IF(INDEX('Site_Comparison'!$Q$2:$Q$50,MATCH($A79,'Site_Comparison'!$A$2:$A$50,0)),1,0)</x:f>
        <x:v>1</x:v>
      </x:c>
      <x:c r="G79" s="9" t="n">
        <x:f>D79-C79</x:f>
        <x:v>-2.42577521285766</x:v>
      </x:c>
      <x:c r="H79" s="9" t="n">
        <x:f>ABS(G79)</x:f>
        <x:v>2.42577521285766</x:v>
      </x:c>
      <x:c r="I79" s="9" t="n">
        <x:f>G79^2</x:f>
        <x:v>5.884385383314626</x:v>
      </x:c>
      <x:c r="J79" s="9" t="n">
        <x:f>IF(ISNUMBER(E79),E79-C79,"")</x:f>
        <x:v>14</x:v>
      </x:c>
      <x:c r="K79" s="9" t="n">
        <x:f>IF(ISNUMBER(J79),ABS(J79),"")</x:f>
        <x:v>14</x:v>
      </x:c>
      <x:c r="L79" s="9" t="n">
        <x:f>IF(ISNUMBER(J79),J79^2,"")</x:f>
        <x:v>196</x:v>
      </x:c>
      <x:c r="M79" s="2"/>
    </x:row>
    <x:row r="80" ht="22" customHeight="1">
      <x:c r="A80" s="2" t="str">
        <x:v>260335-43</x:v>
      </x:c>
      <x:c r="B80" s="2" t="str">
        <x:v>Along-road</x:v>
      </x:c>
      <x:c r="C80" s="9" t="n">
        <x:f>INDEX('Site_Comparison'!$L$2:$L$50,MATCH($A80,'Site_Comparison'!$A$2:$A$50,0))</x:f>
        <x:v>36</x:v>
      </x:c>
      <x:c r="D80" s="9" t="n">
        <x:f>INDEX('Site_Comparison'!$M$2:$M$50,MATCH($A80,'Site_Comparison'!$A$2:$A$50,0))</x:f>
        <x:v>52.9386676042684</x:v>
      </x:c>
      <x:c r="E80" s="9" t="n">
        <x:f>IF(ISBLANK(INDEX('Site_Comparison'!$N$2:$N$50,MATCH($A80,'Site_Comparison'!$A$2:$A$50,0))),"",INDEX('Site_Comparison'!$N$2:$N$50,MATCH($A80,'Site_Comparison'!$A$2:$A$50,0)))</x:f>
        <x:v>126</x:v>
      </x:c>
      <x:c r="F80" s="2" t="n">
        <x:f>IF(INDEX('Site_Comparison'!$Q$2:$Q$50,MATCH($A80,'Site_Comparison'!$A$2:$A$50,0)),1,0)</x:f>
        <x:v>1</x:v>
      </x:c>
      <x:c r="G80" s="9" t="n">
        <x:f>D80-C80</x:f>
        <x:v>16.938667604268403</x:v>
      </x:c>
      <x:c r="H80" s="9" t="n">
        <x:f>ABS(G80)</x:f>
        <x:v>16.938667604268403</x:v>
      </x:c>
      <x:c r="I80" s="9" t="n">
        <x:f>G80^2</x:f>
        <x:v>286.9184602078919</x:v>
      </x:c>
      <x:c r="J80" s="9" t="n">
        <x:f>IF(ISNUMBER(E80),E80-C80,"")</x:f>
        <x:v>90</x:v>
      </x:c>
      <x:c r="K80" s="9" t="n">
        <x:f>IF(ISNUMBER(J80),ABS(J80),"")</x:f>
        <x:v>90</x:v>
      </x:c>
      <x:c r="L80" s="9" t="n">
        <x:f>IF(ISNUMBER(J80),J80^2,"")</x:f>
        <x:v>8100</x:v>
      </x:c>
      <x:c r="M80" s="2"/>
    </x:row>
    <x:row r="81" ht="22" customHeight="1">
      <x:c r="A81" s="2" t="str">
        <x:v>260335-44</x:v>
      </x:c>
      <x:c r="B81" s="2" t="str">
        <x:v>Along-road</x:v>
      </x:c>
      <x:c r="C81" s="9" t="n">
        <x:f>INDEX('Site_Comparison'!$L$2:$L$50,MATCH($A81,'Site_Comparison'!$A$2:$A$50,0))</x:f>
        <x:v>3</x:v>
      </x:c>
      <x:c r="D81" s="9" t="n">
        <x:f>INDEX('Site_Comparison'!$M$2:$M$50,MATCH($A81,'Site_Comparison'!$A$2:$A$50,0))</x:f>
        <x:v>6.93652443789444</x:v>
      </x:c>
      <x:c r="E81" s="9" t="n">
        <x:f>IF(ISBLANK(INDEX('Site_Comparison'!$N$2:$N$50,MATCH($A81,'Site_Comparison'!$A$2:$A$50,0))),"",INDEX('Site_Comparison'!$N$2:$N$50,MATCH($A81,'Site_Comparison'!$A$2:$A$50,0)))</x:f>
        <x:v>30</x:v>
      </x:c>
      <x:c r="F81" s="2" t="n">
        <x:f>IF(INDEX('Site_Comparison'!$Q$2:$Q$50,MATCH($A81,'Site_Comparison'!$A$2:$A$50,0)),1,0)</x:f>
        <x:v>1</x:v>
      </x:c>
      <x:c r="G81" s="9" t="n">
        <x:f>D81-C81</x:f>
        <x:v>3.93652443789444</x:v>
      </x:c>
      <x:c r="H81" s="9" t="n">
        <x:f>ABS(G81)</x:f>
        <x:v>3.93652443789444</x:v>
      </x:c>
      <x:c r="I81" s="9" t="n">
        <x:f>G81^2</x:f>
        <x:v>15.496224650140139</x:v>
      </x:c>
      <x:c r="J81" s="9" t="n">
        <x:f>IF(ISNUMBER(E81),E81-C81,"")</x:f>
        <x:v>27</x:v>
      </x:c>
      <x:c r="K81" s="9" t="n">
        <x:f>IF(ISNUMBER(J81),ABS(J81),"")</x:f>
        <x:v>27</x:v>
      </x:c>
      <x:c r="L81" s="9" t="n">
        <x:f>IF(ISNUMBER(J81),J81^2,"")</x:f>
        <x:v>729</x:v>
      </x:c>
      <x:c r="M81" s="2"/>
    </x:row>
    <x:row r="82" ht="22" customHeight="1">
      <x:c r="A82" s="2" t="str">
        <x:v>260335-45</x:v>
      </x:c>
      <x:c r="B82" s="2" t="str">
        <x:v>Along-road</x:v>
      </x:c>
      <x:c r="C82" s="9" t="n">
        <x:f>INDEX('Site_Comparison'!$L$2:$L$50,MATCH($A82,'Site_Comparison'!$A$2:$A$50,0))</x:f>
        <x:v>4.66666666666667</x:v>
      </x:c>
      <x:c r="D82" s="9" t="n">
        <x:f>INDEX('Site_Comparison'!$M$2:$M$50,MATCH($A82,'Site_Comparison'!$A$2:$A$50,0))</x:f>
        <x:v>9.57422478714234</x:v>
      </x:c>
      <x:c r="E82" s="9" t="n">
        <x:f>IF(ISBLANK(INDEX('Site_Comparison'!$N$2:$N$50,MATCH($A82,'Site_Comparison'!$A$2:$A$50,0))),"",INDEX('Site_Comparison'!$N$2:$N$50,MATCH($A82,'Site_Comparison'!$A$2:$A$50,0)))</x:f>
        <x:v>76</x:v>
      </x:c>
      <x:c r="F82" s="2" t="n">
        <x:f>IF(INDEX('Site_Comparison'!$Q$2:$Q$50,MATCH($A82,'Site_Comparison'!$A$2:$A$50,0)),1,0)</x:f>
        <x:v>1</x:v>
      </x:c>
      <x:c r="G82" s="9" t="n">
        <x:f>D82-C82</x:f>
        <x:v>4.90755812047567</x:v>
      </x:c>
      <x:c r="H82" s="9" t="n">
        <x:f>ABS(G82)</x:f>
        <x:v>4.90755812047567</x:v>
      </x:c>
      <x:c r="I82" s="9" t="n">
        <x:f>G82^2</x:f>
        <x:v>24.084126705846693</x:v>
      </x:c>
      <x:c r="J82" s="9" t="n">
        <x:f>IF(ISNUMBER(E82),E82-C82,"")</x:f>
        <x:v>71.33333333333333</x:v>
      </x:c>
      <x:c r="K82" s="9" t="n">
        <x:f>IF(ISNUMBER(J82),ABS(J82),"")</x:f>
        <x:v>71.33333333333333</x:v>
      </x:c>
      <x:c r="L82" s="9" t="n">
        <x:f>IF(ISNUMBER(J82),J82^2,"")</x:f>
        <x:v>5088.444444444443</x:v>
      </x:c>
      <x:c r="M82" s="2"/>
    </x:row>
    <x:row r="83" ht="22" customHeight="1">
      <x:c r="A83" s="2" t="str">
        <x:v>260335-46</x:v>
      </x:c>
      <x:c r="B83" s="2" t="str">
        <x:v>Along-road</x:v>
      </x:c>
      <x:c r="C83" s="9" t="n">
        <x:f>INDEX('Site_Comparison'!$L$2:$L$50,MATCH($A83,'Site_Comparison'!$A$2:$A$50,0))</x:f>
        <x:v>9.66666666666667</x:v>
      </x:c>
      <x:c r="D83" s="9" t="n">
        <x:f>INDEX('Site_Comparison'!$M$2:$M$50,MATCH($A83,'Site_Comparison'!$A$2:$A$50,0))</x:f>
        <x:v>12.2059027990662</x:v>
      </x:c>
      <x:c r="E83" s="9" t="n">
        <x:f>IF(ISBLANK(INDEX('Site_Comparison'!$N$2:$N$50,MATCH($A83,'Site_Comparison'!$A$2:$A$50,0))),"",INDEX('Site_Comparison'!$N$2:$N$50,MATCH($A83,'Site_Comparison'!$A$2:$A$50,0)))</x:f>
        <x:v>22</x:v>
      </x:c>
      <x:c r="F83" s="2" t="n">
        <x:f>IF(INDEX('Site_Comparison'!$Q$2:$Q$50,MATCH($A83,'Site_Comparison'!$A$2:$A$50,0)),1,0)</x:f>
        <x:v>1</x:v>
      </x:c>
      <x:c r="G83" s="9" t="n">
        <x:f>D83-C83</x:f>
        <x:v>2.5392361323995303</x:v>
      </x:c>
      <x:c r="H83" s="9" t="n">
        <x:f>ABS(G83)</x:f>
        <x:v>2.5392361323995303</x:v>
      </x:c>
      <x:c r="I83" s="9" t="n">
        <x:f>G83^2</x:f>
        <x:v>6.4477201360833245</x:v>
      </x:c>
      <x:c r="J83" s="9" t="n">
        <x:f>IF(ISNUMBER(E83),E83-C83,"")</x:f>
        <x:v>12.33333333333333</x:v>
      </x:c>
      <x:c r="K83" s="9" t="n">
        <x:f>IF(ISNUMBER(J83),ABS(J83),"")</x:f>
        <x:v>12.33333333333333</x:v>
      </x:c>
      <x:c r="L83" s="9" t="n">
        <x:f>IF(ISNUMBER(J83),J83^2,"")</x:f>
        <x:v>152.11111111111103</x:v>
      </x:c>
      <x:c r="M83" s="2"/>
    </x:row>
    <x:row r="84" ht="22" customHeight="1">
      <x:c r="A84" s="2" t="str">
        <x:v>260335-47</x:v>
      </x:c>
      <x:c r="B84" s="2" t="str">
        <x:v>Along-road</x:v>
      </x:c>
      <x:c r="C84" s="9" t="n">
        <x:f>INDEX('Site_Comparison'!$L$2:$L$50,MATCH($A84,'Site_Comparison'!$A$2:$A$50,0))</x:f>
        <x:v>11.6666666666667</x:v>
      </x:c>
      <x:c r="D84" s="9" t="n">
        <x:f>INDEX('Site_Comparison'!$M$2:$M$50,MATCH($A84,'Site_Comparison'!$A$2:$A$50,0))</x:f>
        <x:v>60.108393203724</x:v>
      </x:c>
      <x:c r="E84" s="9" t="n">
        <x:f>IF(ISBLANK(INDEX('Site_Comparison'!$N$2:$N$50,MATCH($A84,'Site_Comparison'!$A$2:$A$50,0))),"",INDEX('Site_Comparison'!$N$2:$N$50,MATCH($A84,'Site_Comparison'!$A$2:$A$50,0)))</x:f>
        <x:v>76</x:v>
      </x:c>
      <x:c r="F84" s="2" t="n">
        <x:f>IF(INDEX('Site_Comparison'!$Q$2:$Q$50,MATCH($A84,'Site_Comparison'!$A$2:$A$50,0)),1,0)</x:f>
        <x:v>1</x:v>
      </x:c>
      <x:c r="G84" s="9" t="n">
        <x:f>D84-C84</x:f>
        <x:v>48.4417265370573</x:v>
      </x:c>
      <x:c r="H84" s="9" t="n">
        <x:f>ABS(G84)</x:f>
        <x:v>48.4417265370573</x:v>
      </x:c>
      <x:c r="I84" s="9" t="n">
        <x:f>G84^2</x:f>
        <x:v>2346.6008698910414</x:v>
      </x:c>
      <x:c r="J84" s="9" t="n">
        <x:f>IF(ISNUMBER(E84),E84-C84,"")</x:f>
        <x:v>64.3333333333333</x:v>
      </x:c>
      <x:c r="K84" s="9" t="n">
        <x:f>IF(ISNUMBER(J84),ABS(J84),"")</x:f>
        <x:v>64.3333333333333</x:v>
      </x:c>
      <x:c r="L84" s="9" t="n">
        <x:f>IF(ISNUMBER(J84),J84^2,"")</x:f>
        <x:v>4138.777777777774</x:v>
      </x:c>
      <x:c r="M84" s="2"/>
    </x:row>
    <x:row r="85" ht="22" customHeight="1">
      <x:c r="A85" s="2" t="str">
        <x:v>260335-48</x:v>
      </x:c>
      <x:c r="B85" s="2" t="str">
        <x:v>Along-road</x:v>
      </x:c>
      <x:c r="C85" s="9" t="n">
        <x:f>INDEX('Site_Comparison'!$L$2:$L$50,MATCH($A85,'Site_Comparison'!$A$2:$A$50,0))</x:f>
        <x:v>6.33333333333333</x:v>
      </x:c>
      <x:c r="D85" s="9" t="n">
        <x:f>INDEX('Site_Comparison'!$M$2:$M$50,MATCH($A85,'Site_Comparison'!$A$2:$A$50,0))</x:f>
        <x:v>9.328562335735</x:v>
      </x:c>
      <x:c r="E85" s="9" t="n">
        <x:f>IF(ISBLANK(INDEX('Site_Comparison'!$N$2:$N$50,MATCH($A85,'Site_Comparison'!$A$2:$A$50,0))),"",INDEX('Site_Comparison'!$N$2:$N$50,MATCH($A85,'Site_Comparison'!$A$2:$A$50,0)))</x:f>
        <x:v>24</x:v>
      </x:c>
      <x:c r="F85" s="2" t="n">
        <x:f>IF(INDEX('Site_Comparison'!$Q$2:$Q$50,MATCH($A85,'Site_Comparison'!$A$2:$A$50,0)),1,0)</x:f>
        <x:v>1</x:v>
      </x:c>
      <x:c r="G85" s="9" t="n">
        <x:f>D85-C85</x:f>
        <x:v>2.99522900240167</x:v>
      </x:c>
      <x:c r="H85" s="9" t="n">
        <x:f>ABS(G85)</x:f>
        <x:v>2.99522900240167</x:v>
      </x:c>
      <x:c r="I85" s="9" t="n">
        <x:f>G85^2</x:f>
        <x:v>8.971396776828104</x:v>
      </x:c>
      <x:c r="J85" s="9" t="n">
        <x:f>IF(ISNUMBER(E85),E85-C85,"")</x:f>
        <x:v>17.66666666666667</x:v>
      </x:c>
      <x:c r="K85" s="9" t="n">
        <x:f>IF(ISNUMBER(J85),ABS(J85),"")</x:f>
        <x:v>17.66666666666667</x:v>
      </x:c>
      <x:c r="L85" s="9" t="n">
        <x:f>IF(ISNUMBER(J85),J85^2,"")</x:f>
        <x:v>312.11111111111126</x:v>
      </x:c>
      <x:c r="M85" s="2"/>
    </x:row>
    <x:row r="86" ht="22" customHeight="1">
      <x:c r="A86" s="2" t="str">
        <x:v>260335-49</x:v>
      </x:c>
      <x:c r="B86" s="2" t="str">
        <x:v>Along-road</x:v>
      </x:c>
      <x:c r="C86" s="9" t="n">
        <x:f>INDEX('Site_Comparison'!$L$2:$L$50,MATCH($A86,'Site_Comparison'!$A$2:$A$50,0))</x:f>
        <x:v>7.33333333333333</x:v>
      </x:c>
      <x:c r="D86" s="9" t="n">
        <x:f>INDEX('Site_Comparison'!$M$2:$M$50,MATCH($A86,'Site_Comparison'!$A$2:$A$50,0))</x:f>
        <x:v>16.4927830171191</x:v>
      </x:c>
      <x:c r="E86" s="9" t="n">
        <x:f>IF(ISBLANK(INDEX('Site_Comparison'!$N$2:$N$50,MATCH($A86,'Site_Comparison'!$A$2:$A$50,0))),"",INDEX('Site_Comparison'!$N$2:$N$50,MATCH($A86,'Site_Comparison'!$A$2:$A$50,0)))</x:f>
        <x:v>64.3333333333333</x:v>
      </x:c>
      <x:c r="F86" s="2" t="n">
        <x:f>IF(INDEX('Site_Comparison'!$Q$2:$Q$50,MATCH($A86,'Site_Comparison'!$A$2:$A$50,0)),1,0)</x:f>
        <x:v>1</x:v>
      </x:c>
      <x:c r="G86" s="9" t="n">
        <x:f>D86-C86</x:f>
        <x:v>9.159449683785768</x:v>
      </x:c>
      <x:c r="H86" s="9" t="n">
        <x:f>ABS(G86)</x:f>
        <x:v>9.159449683785768</x:v>
      </x:c>
      <x:c r="I86" s="9" t="n">
        <x:f>G86^2</x:f>
        <x:v>83.89551850980321</x:v>
      </x:c>
      <x:c r="J86" s="9" t="n">
        <x:f>IF(ISNUMBER(E86),E86-C86,"")</x:f>
        <x:v>56.99999999999997</x:v>
      </x:c>
      <x:c r="K86" s="9" t="n">
        <x:f>IF(ISNUMBER(J86),ABS(J86),"")</x:f>
        <x:v>56.99999999999997</x:v>
      </x:c>
      <x:c r="L86" s="9" t="n">
        <x:f>IF(ISNUMBER(J86),J86^2,"")</x:f>
        <x:v>3248.999999999997</x:v>
      </x:c>
      <x:c r="M86" s="2"/>
    </x:row>
    <x:row r="87" ht="22" customHeight="1">
      <x:c r="A87" s="2" t="str">
        <x:v>260335-50</x:v>
      </x:c>
      <x:c r="B87" s="2" t="str">
        <x:v>Along-road</x:v>
      </x:c>
      <x:c r="C87" s="9" t="n">
        <x:f>INDEX('Site_Comparison'!$L$2:$L$50,MATCH($A87,'Site_Comparison'!$A$2:$A$50,0))</x:f>
        <x:v>4.33333333333333</x:v>
      </x:c>
      <x:c r="D87" s="9" t="n">
        <x:f>INDEX('Site_Comparison'!$M$2:$M$50,MATCH($A87,'Site_Comparison'!$A$2:$A$50,0))</x:f>
        <x:v>7.20994785361989</x:v>
      </x:c>
      <x:c r="E87" s="9" t="n">
        <x:f>IF(ISBLANK(INDEX('Site_Comparison'!$N$2:$N$50,MATCH($A87,'Site_Comparison'!$A$2:$A$50,0))),"",INDEX('Site_Comparison'!$N$2:$N$50,MATCH($A87,'Site_Comparison'!$A$2:$A$50,0)))</x:f>
        <x:v>30</x:v>
      </x:c>
      <x:c r="F87" s="2" t="n">
        <x:f>IF(INDEX('Site_Comparison'!$Q$2:$Q$50,MATCH($A87,'Site_Comparison'!$A$2:$A$50,0)),1,0)</x:f>
        <x:v>1</x:v>
      </x:c>
      <x:c r="G87" s="9" t="n">
        <x:f>D87-C87</x:f>
        <x:v>2.8766145202865596</x:v>
      </x:c>
      <x:c r="H87" s="9" t="n">
        <x:f>ABS(G87)</x:f>
        <x:v>2.8766145202865596</x:v>
      </x:c>
      <x:c r="I87" s="9" t="n">
        <x:f>G87^2</x:f>
        <x:v>8.274911098323473</x:v>
      </x:c>
      <x:c r="J87" s="9" t="n">
        <x:f>IF(ISNUMBER(E87),E87-C87,"")</x:f>
        <x:v>25.66666666666667</x:v>
      </x:c>
      <x:c r="K87" s="9" t="n">
        <x:f>IF(ISNUMBER(J87),ABS(J87),"")</x:f>
        <x:v>25.66666666666667</x:v>
      </x:c>
      <x:c r="L87" s="9" t="n">
        <x:f>IF(ISNUMBER(J87),J87^2,"")</x:f>
        <x:v>658.777777777778</x:v>
      </x:c>
      <x:c r="M87" s="2"/>
    </x:row>
    <x:row r="88" ht="22" customHeight="1">
      <x:c r="A88" s="2" t="str">
        <x:v>260335-51</x:v>
      </x:c>
      <x:c r="B88" s="2" t="str">
        <x:v>Along-road</x:v>
      </x:c>
      <x:c r="C88" s="9" t="n">
        <x:f>INDEX('Site_Comparison'!$L$2:$L$50,MATCH($A88,'Site_Comparison'!$A$2:$A$50,0))</x:f>
        <x:v>35.3333333333333</x:v>
      </x:c>
      <x:c r="D88" s="9" t="n">
        <x:f>INDEX('Site_Comparison'!$M$2:$M$50,MATCH($A88,'Site_Comparison'!$A$2:$A$50,0))</x:f>
        <x:v>10.5665450621751</x:v>
      </x:c>
      <x:c r="E88" s="9" t="n">
        <x:f>IF(ISBLANK(INDEX('Site_Comparison'!$N$2:$N$50,MATCH($A88,'Site_Comparison'!$A$2:$A$50,0))),"",INDEX('Site_Comparison'!$N$2:$N$50,MATCH($A88,'Site_Comparison'!$A$2:$A$50,0)))</x:f>
        <x:v>102</x:v>
      </x:c>
      <x:c r="F88" s="2" t="n">
        <x:f>IF(INDEX('Site_Comparison'!$Q$2:$Q$50,MATCH($A88,'Site_Comparison'!$A$2:$A$50,0)),1,0)</x:f>
        <x:v>1</x:v>
      </x:c>
      <x:c r="G88" s="9" t="n">
        <x:f>D88-C88</x:f>
        <x:v>-24.766788271158198</x:v>
      </x:c>
      <x:c r="H88" s="9" t="n">
        <x:f>ABS(G88)</x:f>
        <x:v>24.766788271158198</x:v>
      </x:c>
      <x:c r="I88" s="9" t="n">
        <x:f>G88^2</x:f>
        <x:v>613.3938012683793</x:v>
      </x:c>
      <x:c r="J88" s="9" t="n">
        <x:f>IF(ISNUMBER(E88),E88-C88,"")</x:f>
        <x:v>66.6666666666667</x:v>
      </x:c>
      <x:c r="K88" s="9" t="n">
        <x:f>IF(ISNUMBER(J88),ABS(J88),"")</x:f>
        <x:v>66.6666666666667</x:v>
      </x:c>
      <x:c r="L88" s="9" t="n">
        <x:f>IF(ISNUMBER(J88),J88^2,"")</x:f>
        <x:v>4444.444444444449</x:v>
      </x:c>
      <x:c r="M88" s="2"/>
    </x:row>
    <x:row r="89" ht="22" customHeight="1">
      <x:c r="A89" s="2" t="str">
        <x:v>260335-52</x:v>
      </x:c>
      <x:c r="B89" s="2" t="str">
        <x:v>Along-road</x:v>
      </x:c>
      <x:c r="C89" s="9" t="n">
        <x:f>INDEX('Site_Comparison'!$L$2:$L$50,MATCH($A89,'Site_Comparison'!$A$2:$A$50,0))</x:f>
        <x:v>4.33333333333333</x:v>
      </x:c>
      <x:c r="D89" s="9" t="n">
        <x:f>INDEX('Site_Comparison'!$M$2:$M$50,MATCH($A89,'Site_Comparison'!$A$2:$A$50,0))</x:f>
        <x:v>6.00867163249303</x:v>
      </x:c>
      <x:c r="E89" s="9" t="n">
        <x:f>IF(ISBLANK(INDEX('Site_Comparison'!$N$2:$N$50,MATCH($A89,'Site_Comparison'!$A$2:$A$50,0))),"",INDEX('Site_Comparison'!$N$2:$N$50,MATCH($A89,'Site_Comparison'!$A$2:$A$50,0)))</x:f>
        <x:v>75</x:v>
      </x:c>
      <x:c r="F89" s="2" t="n">
        <x:f>IF(INDEX('Site_Comparison'!$Q$2:$Q$50,MATCH($A89,'Site_Comparison'!$A$2:$A$50,0)),1,0)</x:f>
        <x:v>1</x:v>
      </x:c>
      <x:c r="G89" s="9" t="n">
        <x:f>D89-C89</x:f>
        <x:v>1.6753382991596997</x:v>
      </x:c>
      <x:c r="H89" s="9" t="n">
        <x:f>ABS(G89)</x:f>
        <x:v>1.6753382991596997</x:v>
      </x:c>
      <x:c r="I89" s="9" t="n">
        <x:f>G89^2</x:f>
        <x:v>2.8067584166313155</x:v>
      </x:c>
      <x:c r="J89" s="9" t="n">
        <x:f>IF(ISNUMBER(E89),E89-C89,"")</x:f>
        <x:v>70.66666666666667</x:v>
      </x:c>
      <x:c r="K89" s="9" t="n">
        <x:f>IF(ISNUMBER(J89),ABS(J89),"")</x:f>
        <x:v>70.66666666666667</x:v>
      </x:c>
      <x:c r="L89" s="9" t="n">
        <x:f>IF(ISNUMBER(J89),J89^2,"")</x:f>
        <x:v>4993.777777777778</x:v>
      </x:c>
      <x:c r="M89" s="2"/>
    </x:row>
    <x:row r="90" ht="22" customHeight="1">
      <x:c r="A90" s="2" t="str">
        <x:v>250303-15</x:v>
      </x:c>
      <x:c r="B90" s="2" t="str">
        <x:v>Cross-road</x:v>
      </x:c>
      <x:c r="C90" s="9" t="n">
        <x:f>INDEX('Site_Comparison'!$E$2:$E$50,MATCH($A90,'Site_Comparison'!$A$2:$A$50,0))</x:f>
        <x:v>0.333333333333333</x:v>
      </x:c>
      <x:c r="D90" s="9" t="n">
        <x:f>INDEX('Site_Comparison'!$F$2:$F$50,MATCH($A90,'Site_Comparison'!$A$2:$A$50,0))</x:f>
        <x:v>4.38168686805392</x:v>
      </x:c>
      <x:c r="E90" s="9" t="str">
        <x:f>IF(ISBLANK(INDEX('Site_Comparison'!$G$2:$G$50,MATCH($A90,'Site_Comparison'!$A$2:$A$50,0))),"",INDEX('Site_Comparison'!$G$2:$G$50,MATCH($A90,'Site_Comparison'!$A$2:$A$50,0)))</x:f>
      </x:c>
      <x:c r="F90" s="2" t="n">
        <x:f>IF(INDEX('Site_Comparison'!$P$2:$P$50,MATCH($A90,'Site_Comparison'!$A$2:$A$50,0)),1,0)</x:f>
        <x:v>0</x:v>
      </x:c>
      <x:c r="G90" s="9" t="n">
        <x:f>D90-C90</x:f>
        <x:v>4.048353534720587</x:v>
      </x:c>
      <x:c r="H90" s="9" t="n">
        <x:f>ABS(G90)</x:f>
        <x:v>4.048353534720587</x:v>
      </x:c>
      <x:c r="I90" s="9" t="n">
        <x:f>G90^2</x:f>
        <x:v>16.389166342084668</x:v>
      </x:c>
      <x:c r="J90" s="9" t="str">
        <x:f>IF(ISNUMBER(E90),E90-C90,"")</x:f>
      </x:c>
      <x:c r="K90" s="9" t="str">
        <x:f>IF(ISNUMBER(J90),ABS(J90),"")</x:f>
      </x:c>
      <x:c r="L90" s="9" t="str">
        <x:f>IF(ISNUMBER(J90),J90^2,"")</x:f>
      </x:c>
      <x:c r="M90" s="2" t="str">
        <x:v>client_reference_unavailable</x:v>
      </x:c>
    </x:row>
    <x:row r="91" ht="22" customHeight="1">
      <x:c r="A91" s="2" t="str">
        <x:v>260335-31</x:v>
      </x:c>
      <x:c r="B91" s="2" t="str">
        <x:v>Cross-road</x:v>
      </x:c>
      <x:c r="C91" s="9" t="n">
        <x:f>INDEX('Site_Comparison'!$E$2:$E$50,MATCH($A91,'Site_Comparison'!$A$2:$A$50,0))</x:f>
        <x:v>3</x:v>
      </x:c>
      <x:c r="D91" s="9" t="n">
        <x:f>INDEX('Site_Comparison'!$F$2:$F$50,MATCH($A91,'Site_Comparison'!$A$2:$A$50,0))</x:f>
        <x:v>6.0978194125703</x:v>
      </x:c>
      <x:c r="E91" s="9" t="str">
        <x:f>IF(ISBLANK(INDEX('Site_Comparison'!$G$2:$G$50,MATCH($A91,'Site_Comparison'!$A$2:$A$50,0))),"",INDEX('Site_Comparison'!$G$2:$G$50,MATCH($A91,'Site_Comparison'!$A$2:$A$50,0)))</x:f>
      </x:c>
      <x:c r="F91" s="2" t="n">
        <x:f>IF(INDEX('Site_Comparison'!$P$2:$P$50,MATCH($A91,'Site_Comparison'!$A$2:$A$50,0)),1,0)</x:f>
        <x:v>0</x:v>
      </x:c>
      <x:c r="G91" s="9" t="n">
        <x:f>D91-C91</x:f>
        <x:v>3.0978194125703</x:v>
      </x:c>
      <x:c r="H91" s="9" t="n">
        <x:f>ABS(G91)</x:f>
        <x:v>3.0978194125703</x:v>
      </x:c>
      <x:c r="I91" s="9" t="n">
        <x:f>G91^2</x:f>
        <x:v>9.5964851128974</x:v>
      </x:c>
      <x:c r="J91" s="9" t="str">
        <x:f>IF(ISNUMBER(E91),E91-C91,"")</x:f>
      </x:c>
      <x:c r="K91" s="9" t="str">
        <x:f>IF(ISNUMBER(J91),ABS(J91),"")</x:f>
      </x:c>
      <x:c r="L91" s="9" t="str">
        <x:f>IF(ISNUMBER(J91),J91^2,"")</x:f>
      </x:c>
      <x:c r="M91" s="2" t="str">
        <x:v>client_reference_unavailable</x:v>
      </x:c>
    </x:row>
    <x:row r="92" ht="22" customHeight="1">
      <x:c r="A92" s="2" t="str">
        <x:v>260335-32</x:v>
      </x:c>
      <x:c r="B92" s="2" t="str">
        <x:v>Cross-road</x:v>
      </x:c>
      <x:c r="C92" s="9" t="n">
        <x:f>INDEX('Site_Comparison'!$E$2:$E$50,MATCH($A92,'Site_Comparison'!$A$2:$A$50,0))</x:f>
        <x:v>2</x:v>
      </x:c>
      <x:c r="D92" s="9" t="n">
        <x:f>INDEX('Site_Comparison'!$F$2:$F$50,MATCH($A92,'Site_Comparison'!$A$2:$A$50,0))</x:f>
        <x:v>7.13439432345402</x:v>
      </x:c>
      <x:c r="E92" s="9" t="str">
        <x:f>IF(ISBLANK(INDEX('Site_Comparison'!$G$2:$G$50,MATCH($A92,'Site_Comparison'!$A$2:$A$50,0))),"",INDEX('Site_Comparison'!$G$2:$G$50,MATCH($A92,'Site_Comparison'!$A$2:$A$50,0)))</x:f>
      </x:c>
      <x:c r="F92" s="2" t="n">
        <x:f>IF(INDEX('Site_Comparison'!$P$2:$P$50,MATCH($A92,'Site_Comparison'!$A$2:$A$50,0)),1,0)</x:f>
        <x:v>0</x:v>
      </x:c>
      <x:c r="G92" s="9" t="n">
        <x:f>D92-C92</x:f>
        <x:v>5.13439432345402</x:v>
      </x:c>
      <x:c r="H92" s="9" t="n">
        <x:f>ABS(G92)</x:f>
        <x:v>5.13439432345402</x:v>
      </x:c>
      <x:c r="I92" s="9" t="n">
        <x:f>G92^2</x:f>
        <x:v>26.36200506871687</x:v>
      </x:c>
      <x:c r="J92" s="9" t="str">
        <x:f>IF(ISNUMBER(E92),E92-C92,"")</x:f>
      </x:c>
      <x:c r="K92" s="9" t="str">
        <x:f>IF(ISNUMBER(J92),ABS(J92),"")</x:f>
      </x:c>
      <x:c r="L92" s="9" t="str">
        <x:f>IF(ISNUMBER(J92),J92^2,"")</x:f>
      </x:c>
      <x:c r="M92" s="2" t="str">
        <x:v>client_reference_unavailable</x:v>
      </x:c>
    </x:row>
    <x:row r="93" ht="22" customHeight="1">
      <x:c r="A93" s="2" t="str">
        <x:v>260335-40</x:v>
      </x:c>
      <x:c r="B93" s="2" t="str">
        <x:v>Cross-road</x:v>
      </x:c>
      <x:c r="C93" s="9" t="n">
        <x:f>INDEX('Site_Comparison'!$E$2:$E$50,MATCH($A93,'Site_Comparison'!$A$2:$A$50,0))</x:f>
        <x:v>53.6666666666667</x:v>
      </x:c>
      <x:c r="D93" s="9" t="n">
        <x:f>INDEX('Site_Comparison'!$F$2:$F$50,MATCH($A93,'Site_Comparison'!$A$2:$A$50,0))</x:f>
        <x:v>19.4139179292762</x:v>
      </x:c>
      <x:c r="E93" s="9" t="str">
        <x:f>IF(ISBLANK(INDEX('Site_Comparison'!$G$2:$G$50,MATCH($A93,'Site_Comparison'!$A$2:$A$50,0))),"",INDEX('Site_Comparison'!$G$2:$G$50,MATCH($A93,'Site_Comparison'!$A$2:$A$50,0)))</x:f>
      </x:c>
      <x:c r="F93" s="2" t="n">
        <x:f>IF(INDEX('Site_Comparison'!$P$2:$P$50,MATCH($A93,'Site_Comparison'!$A$2:$A$50,0)),1,0)</x:f>
        <x:v>0</x:v>
      </x:c>
      <x:c r="G93" s="9" t="n">
        <x:f>D93-C93</x:f>
        <x:v>-34.252748737390505</x:v>
      </x:c>
      <x:c r="H93" s="9" t="n">
        <x:f>ABS(G93)</x:f>
        <x:v>34.252748737390505</x:v>
      </x:c>
      <x:c r="I93" s="9" t="n">
        <x:f>G93^2</x:f>
        <x:v>1173.2507960668067</x:v>
      </x:c>
      <x:c r="J93" s="9" t="str">
        <x:f>IF(ISNUMBER(E93),E93-C93,"")</x:f>
      </x:c>
      <x:c r="K93" s="9" t="str">
        <x:f>IF(ISNUMBER(J93),ABS(J93),"")</x:f>
      </x:c>
      <x:c r="L93" s="9" t="str">
        <x:f>IF(ISNUMBER(J93),J93^2,"")</x:f>
      </x:c>
      <x:c r="M93" s="2" t="str">
        <x:v>client_reference_unavailable</x:v>
      </x:c>
    </x:row>
    <x:row r="94" ht="22" customHeight="1">
      <x:c r="A94" s="2" t="str">
        <x:v>250303-15</x:v>
      </x:c>
      <x:c r="B94" s="2" t="str">
        <x:v>Along-road</x:v>
      </x:c>
      <x:c r="C94" s="9" t="n">
        <x:f>INDEX('Site_Comparison'!$L$2:$L$50,MATCH($A94,'Site_Comparison'!$A$2:$A$50,0))</x:f>
        <x:v>5.33333333333333</x:v>
      </x:c>
      <x:c r="D94" s="9" t="n">
        <x:f>INDEX('Site_Comparison'!$M$2:$M$50,MATCH($A94,'Site_Comparison'!$A$2:$A$50,0))</x:f>
        <x:v>7.61722275221222</x:v>
      </x:c>
      <x:c r="E94" s="9" t="str">
        <x:f>IF(ISBLANK(INDEX('Site_Comparison'!$N$2:$N$50,MATCH($A94,'Site_Comparison'!$A$2:$A$50,0))),"",INDEX('Site_Comparison'!$N$2:$N$50,MATCH($A94,'Site_Comparison'!$A$2:$A$50,0)))</x:f>
      </x:c>
      <x:c r="F94" s="2" t="n">
        <x:f>IF(INDEX('Site_Comparison'!$Q$2:$Q$50,MATCH($A94,'Site_Comparison'!$A$2:$A$50,0)),1,0)</x:f>
        <x:v>0</x:v>
      </x:c>
      <x:c r="G94" s="9" t="n">
        <x:f>D94-C94</x:f>
        <x:v>2.283889418878889</x:v>
      </x:c>
      <x:c r="H94" s="9" t="n">
        <x:f>ABS(G94)</x:f>
        <x:v>2.283889418878889</x:v>
      </x:c>
      <x:c r="I94" s="9" t="n">
        <x:f>G94^2</x:f>
        <x:v>5.2161508776669505</x:v>
      </x:c>
      <x:c r="J94" s="9" t="str">
        <x:f>IF(ISNUMBER(E94),E94-C94,"")</x:f>
      </x:c>
      <x:c r="K94" s="9" t="str">
        <x:f>IF(ISNUMBER(J94),ABS(J94),"")</x:f>
      </x:c>
      <x:c r="L94" s="9" t="str">
        <x:f>IF(ISNUMBER(J94),J94^2,"")</x:f>
      </x:c>
      <x:c r="M94" s="2" t="str">
        <x:v>client_reference_unavailable</x:v>
      </x:c>
    </x:row>
    <x:row r="95" ht="22" customHeight="1">
      <x:c r="A95" s="2" t="str">
        <x:v>250341-01</x:v>
      </x:c>
      <x:c r="B95" s="2" t="str">
        <x:v>Along-road</x:v>
      </x:c>
      <x:c r="C95" s="9" t="n">
        <x:f>INDEX('Site_Comparison'!$L$2:$L$50,MATCH($A95,'Site_Comparison'!$A$2:$A$50,0))</x:f>
        <x:v>20.3333333333333</x:v>
      </x:c>
      <x:c r="D95" s="9" t="n">
        <x:f>INDEX('Site_Comparison'!$M$2:$M$50,MATCH($A95,'Site_Comparison'!$A$2:$A$50,0))</x:f>
        <x:v>6.3196530836673</x:v>
      </x:c>
      <x:c r="E95" s="9" t="n">
        <x:f>IF(ISBLANK(INDEX('Site_Comparison'!$N$2:$N$50,MATCH($A95,'Site_Comparison'!$A$2:$A$50,0))),"",INDEX('Site_Comparison'!$N$2:$N$50,MATCH($A95,'Site_Comparison'!$A$2:$A$50,0)))</x:f>
        <x:v>58</x:v>
      </x:c>
      <x:c r="F95" s="2" t="n">
        <x:f>IF(INDEX('Site_Comparison'!$Q$2:$Q$50,MATCH($A95,'Site_Comparison'!$A$2:$A$50,0)),1,0)</x:f>
        <x:v>0</x:v>
      </x:c>
      <x:c r="G95" s="9" t="n">
        <x:f>D95-C95</x:f>
        <x:v>-14.013680249665999</x:v>
      </x:c>
      <x:c r="H95" s="9" t="n">
        <x:f>ABS(G95)</x:f>
        <x:v>14.013680249665999</x:v>
      </x:c>
      <x:c r="I95" s="9" t="n">
        <x:f>G95^2</x:f>
        <x:v>196.38323413987888</x:v>
      </x:c>
      <x:c r="J95" s="9" t="n">
        <x:f>IF(ISNUMBER(E95),E95-C95,"")</x:f>
        <x:v>37.6666666666667</x:v>
      </x:c>
      <x:c r="K95" s="9" t="n">
        <x:f>IF(ISNUMBER(J95),ABS(J95),"")</x:f>
        <x:v>37.6666666666667</x:v>
      </x:c>
      <x:c r="L95" s="9" t="n">
        <x:f>IF(ISNUMBER(J95),J95^2,"")</x:f>
        <x:v>1418.7777777777803</x:v>
      </x:c>
      <x:c r="M95" s="2" t="str">
        <x:v>along_coverage_unconfirmed_south_walkway</x:v>
      </x:c>
    </x:row>
    <x:row r="96" ht="22" customHeight="1">
      <x:c r="A96" s="2" t="str">
        <x:v>260335-31</x:v>
      </x:c>
      <x:c r="B96" s="2" t="str">
        <x:v>Along-road</x:v>
      </x:c>
      <x:c r="C96" s="9" t="n">
        <x:f>INDEX('Site_Comparison'!$L$2:$L$50,MATCH($A96,'Site_Comparison'!$A$2:$A$50,0))</x:f>
        <x:v>8.33333333333333</x:v>
      </x:c>
      <x:c r="D96" s="9" t="n">
        <x:f>INDEX('Site_Comparison'!$M$2:$M$50,MATCH($A96,'Site_Comparison'!$A$2:$A$50,0))</x:f>
        <x:v>14.0905833118901</x:v>
      </x:c>
      <x:c r="E96" s="9" t="str">
        <x:f>IF(ISBLANK(INDEX('Site_Comparison'!$N$2:$N$50,MATCH($A96,'Site_Comparison'!$A$2:$A$50,0))),"",INDEX('Site_Comparison'!$N$2:$N$50,MATCH($A96,'Site_Comparison'!$A$2:$A$50,0)))</x:f>
      </x:c>
      <x:c r="F96" s="2" t="n">
        <x:f>IF(INDEX('Site_Comparison'!$Q$2:$Q$50,MATCH($A96,'Site_Comparison'!$A$2:$A$50,0)),1,0)</x:f>
        <x:v>0</x:v>
      </x:c>
      <x:c r="G96" s="9" t="n">
        <x:f>D96-C96</x:f>
        <x:v>5.75724997855677</x:v>
      </x:c>
      <x:c r="H96" s="9" t="n">
        <x:f>ABS(G96)</x:f>
        <x:v>5.75724997855677</x:v>
      </x:c>
      <x:c r="I96" s="9" t="n">
        <x:f>G96^2</x:f>
        <x:v>33.145927315591926</x:v>
      </x:c>
      <x:c r="J96" s="9" t="str">
        <x:f>IF(ISNUMBER(E96),E96-C96,"")</x:f>
      </x:c>
      <x:c r="K96" s="9" t="str">
        <x:f>IF(ISNUMBER(J96),ABS(J96),"")</x:f>
      </x:c>
      <x:c r="L96" s="9" t="str">
        <x:f>IF(ISNUMBER(J96),J96^2,"")</x:f>
      </x:c>
      <x:c r="M96" s="2" t="str">
        <x:v>client_reference_unavailable</x:v>
      </x:c>
    </x:row>
    <x:row r="97" ht="22" customHeight="1">
      <x:c r="A97" s="2" t="str">
        <x:v>260335-32</x:v>
      </x:c>
      <x:c r="B97" s="2" t="str">
        <x:v>Along-road</x:v>
      </x:c>
      <x:c r="C97" s="9" t="n">
        <x:f>INDEX('Site_Comparison'!$L$2:$L$50,MATCH($A97,'Site_Comparison'!$A$2:$A$50,0))</x:f>
        <x:v>12.3333333333333</x:v>
      </x:c>
      <x:c r="D97" s="9" t="n">
        <x:f>INDEX('Site_Comparison'!$M$2:$M$50,MATCH($A97,'Site_Comparison'!$A$2:$A$50,0))</x:f>
        <x:v>10.5211883603386</x:v>
      </x:c>
      <x:c r="E97" s="9" t="str">
        <x:f>IF(ISBLANK(INDEX('Site_Comparison'!$N$2:$N$50,MATCH($A97,'Site_Comparison'!$A$2:$A$50,0))),"",INDEX('Site_Comparison'!$N$2:$N$50,MATCH($A97,'Site_Comparison'!$A$2:$A$50,0)))</x:f>
      </x:c>
      <x:c r="F97" s="2" t="n">
        <x:f>IF(INDEX('Site_Comparison'!$Q$2:$Q$50,MATCH($A97,'Site_Comparison'!$A$2:$A$50,0)),1,0)</x:f>
        <x:v>0</x:v>
      </x:c>
      <x:c r="G97" s="9" t="n">
        <x:f>D97-C97</x:f>
        <x:v>-1.8121449729947</x:v>
      </x:c>
      <x:c r="H97" s="9" t="n">
        <x:f>ABS(G97)</x:f>
        <x:v>1.8121449729947</x:v>
      </x:c>
      <x:c r="I97" s="9" t="n">
        <x:f>G97^2</x:f>
        <x:v>3.2838694031499616</x:v>
      </x:c>
      <x:c r="J97" s="9" t="str">
        <x:f>IF(ISNUMBER(E97),E97-C97,"")</x:f>
      </x:c>
      <x:c r="K97" s="9" t="str">
        <x:f>IF(ISNUMBER(J97),ABS(J97),"")</x:f>
      </x:c>
      <x:c r="L97" s="9" t="str">
        <x:f>IF(ISNUMBER(J97),J97^2,"")</x:f>
      </x:c>
      <x:c r="M97" s="2" t="str">
        <x:v>client_reference_unavailable</x:v>
      </x:c>
    </x:row>
    <x:row r="98" ht="22" customHeight="1">
      <x:c r="A98" s="2" t="str">
        <x:v>260335-38</x:v>
      </x:c>
      <x:c r="B98" s="2" t="str">
        <x:v>Along-road</x:v>
      </x:c>
      <x:c r="C98" s="9" t="n">
        <x:f>INDEX('Site_Comparison'!$L$2:$L$50,MATCH($A98,'Site_Comparison'!$A$2:$A$50,0))</x:f>
        <x:v>18.3333333333333</x:v>
      </x:c>
      <x:c r="D98" s="9" t="n">
        <x:f>INDEX('Site_Comparison'!$M$2:$M$50,MATCH($A98,'Site_Comparison'!$A$2:$A$50,0))</x:f>
        <x:v>43.300615878148</x:v>
      </x:c>
      <x:c r="E98" s="9" t="n">
        <x:f>IF(ISBLANK(INDEX('Site_Comparison'!$N$2:$N$50,MATCH($A98,'Site_Comparison'!$A$2:$A$50,0))),"",INDEX('Site_Comparison'!$N$2:$N$50,MATCH($A98,'Site_Comparison'!$A$2:$A$50,0)))</x:f>
        <x:v>21</x:v>
      </x:c>
      <x:c r="F98" s="2" t="n">
        <x:f>IF(INDEX('Site_Comparison'!$Q$2:$Q$50,MATCH($A98,'Site_Comparison'!$A$2:$A$50,0)),1,0)</x:f>
        <x:v>0</x:v>
      </x:c>
      <x:c r="G98" s="9" t="n">
        <x:f>D98-C98</x:f>
        <x:v>24.9672825448147</x:v>
      </x:c>
      <x:c r="H98" s="9" t="n">
        <x:f>ABS(G98)</x:f>
        <x:v>24.9672825448147</x:v>
      </x:c>
      <x:c r="I98" s="9" t="n">
        <x:f>G98^2</x:f>
        <x:v>623.3651976726088</x:v>
      </x:c>
      <x:c r="J98" s="9" t="n">
        <x:f>IF(ISNUMBER(E98),E98-C98,"")</x:f>
        <x:v>2.6666666666667</x:v>
      </x:c>
      <x:c r="K98" s="9" t="n">
        <x:f>IF(ISNUMBER(J98),ABS(J98),"")</x:f>
        <x:v>2.6666666666667</x:v>
      </x:c>
      <x:c r="L98" s="9" t="n">
        <x:f>IF(ISNUMBER(J98),J98^2,"")</x:f>
        <x:v>7.111111111111288</x:v>
      </x:c>
      <x:c r="M98" s="2" t="str">
        <x:v>along_coverage_west_only</x:v>
      </x:c>
    </x:row>
    <x:row r="99" ht="22" customHeight="1">
      <x:c r="A99" s="27" t="str">
        <x:v>260335-40</x:v>
      </x:c>
      <x:c r="B99" s="27" t="str">
        <x:v>Along-road</x:v>
      </x:c>
      <x:c r="C99" s="31" t="n">
        <x:f>INDEX('Site_Comparison'!$L$2:$L$50,MATCH($A99,'Site_Comparison'!$A$2:$A$50,0))</x:f>
        <x:v>66.3333333333333</x:v>
      </x:c>
      <x:c r="D99" s="31" t="n">
        <x:f>INDEX('Site_Comparison'!$M$2:$M$50,MATCH($A99,'Site_Comparison'!$A$2:$A$50,0))</x:f>
        <x:v>32.80826540818</x:v>
      </x:c>
      <x:c r="E99" s="31" t="str">
        <x:f>IF(ISBLANK(INDEX('Site_Comparison'!$N$2:$N$50,MATCH($A99,'Site_Comparison'!$A$2:$A$50,0))),"",INDEX('Site_Comparison'!$N$2:$N$50,MATCH($A99,'Site_Comparison'!$A$2:$A$50,0)))</x:f>
      </x:c>
      <x:c r="F99" s="27" t="n">
        <x:f>IF(INDEX('Site_Comparison'!$Q$2:$Q$50,MATCH($A99,'Site_Comparison'!$A$2:$A$50,0)),1,0)</x:f>
        <x:v>0</x:v>
      </x:c>
      <x:c r="G99" s="31" t="n">
        <x:f>D99-C99</x:f>
        <x:v>-33.5250679251533</x:v>
      </x:c>
      <x:c r="H99" s="31" t="n">
        <x:f>ABS(G99)</x:f>
        <x:v>33.5250679251533</x:v>
      </x:c>
      <x:c r="I99" s="31" t="n">
        <x:f>G99^2</x:f>
        <x:v>1123.9301793861428</x:v>
      </x:c>
      <x:c r="J99" s="31" t="str">
        <x:f>IF(ISNUMBER(E99),E99-C99,"")</x:f>
      </x:c>
      <x:c r="K99" s="31" t="str">
        <x:f>IF(ISNUMBER(J99),ABS(J99),"")</x:f>
      </x:c>
      <x:c r="L99" s="31" t="str">
        <x:f>IF(ISNUMBER(J99),J99^2,"")</x:f>
      </x:c>
      <x:c r="M99" s="27" t="str">
        <x:v>client_reference_unavailable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48" hidden="0" customWidth="1"/>
    <x:col min="3" max="3" width="22" hidden="0" customWidth="1"/>
    <x:col min="4" max="4" width="88" hidden="0" customWidth="1"/>
    <x:col min="5" max="5" width="3" hidden="0" customWidth="1"/>
  </x:cols>
  <x:sheetData>
    <x:row r="1" ht="28" customHeight="1">
      <x:c r="A1" s="36" t="str">
        <x:v>Technical field</x:v>
      </x:c>
      <x:c r="B1" s="36" t="str">
        <x:v>Label</x:v>
      </x:c>
      <x:c r="C1" s="36" t="str">
        <x:v>Unit</x:v>
      </x:c>
      <x:c r="D1" s="36" t="str">
        <x:v>Meaning</x:v>
      </x:c>
      <x:c r="E1"/>
    </x:row>
    <x:row r="2" ht="66" customHeight="1">
      <x:c r="A2" s="11" t="str">
        <x:v>site_id</x:v>
      </x:c>
      <x:c r="B2" s="11" t="str">
        <x:v>Site ID</x:v>
      </x:c>
      <x:c r="C2" s="11"/>
      <x:c r="D2" s="11" t="str">
        <x:v>See comparison protocol and source metadata below.</x:v>
      </x:c>
      <x:c r="E2"/>
    </x:row>
    <x:row r="3" ht="66" customHeight="1">
      <x:c r="A3" s="11" t="str">
        <x:v>road_no</x:v>
      </x:c>
      <x:c r="B3" s="11" t="str">
        <x:v>Road number</x:v>
      </x:c>
      <x:c r="C3" s="11"/>
      <x:c r="D3" s="11" t="str">
        <x:v>See comparison protocol and source metadata below.</x:v>
      </x:c>
      <x:c r="E3"/>
    </x:row>
    <x:row r="4" ht="66" customHeight="1">
      <x:c r="A4" s="11" t="str">
        <x:v>slk_km</x:v>
      </x:c>
      <x:c r="B4" s="11" t="str">
        <x:v>SLK (km)</x:v>
      </x:c>
      <x:c r="C4" s="11" t="str">
        <x:v>km</x:v>
      </x:c>
      <x:c r="D4" s="11" t="str">
        <x:v>See comparison protocol and source metadata below.</x:v>
      </x:c>
      <x:c r="E4"/>
    </x:row>
    <x:row r="5" ht="66" customHeight="1">
      <x:c r="A5" s="11" t="str">
        <x:v>source_location_id</x:v>
      </x:c>
      <x:c r="B5" s="11" t="str">
        <x:v>Client source location ID</x:v>
      </x:c>
      <x:c r="C5" s="11"/>
      <x:c r="D5" s="11" t="str">
        <x:v>See comparison protocol and source metadata below.</x:v>
      </x:c>
      <x:c r="E5"/>
    </x:row>
    <x:row r="6" ht="66" customHeight="1">
      <x:c r="A6" s="11" t="str">
        <x:v>obs_peak_cross_ped_per_h</x:v>
      </x:c>
      <x:c r="B6" s="11" t="str">
        <x:v>Observed peak-hour flow — Crossing</x:v>
      </x:c>
      <x:c r="C6" s="11" t="str">
        <x:v>pedestrians/hour</x:v>
      </x:c>
      <x:c r="D6" s="11" t="str">
        <x:v>See comparison protocol and source metadata below.</x:v>
      </x:c>
      <x:c r="E6"/>
    </x:row>
    <x:row r="7" ht="66" customHeight="1">
      <x:c r="A7" s="11" t="str">
        <x:v>pred_peak_cross_ped_per_h</x:v>
      </x:c>
      <x:c r="B7" s="11" t="str">
        <x:v>Model-predicted peak-hour flow — Crossing</x:v>
      </x:c>
      <x:c r="C7" s="11" t="str">
        <x:v>pedestrians/hour</x:v>
      </x:c>
      <x:c r="D7" s="11" t="str">
        <x:v>Saved road-grouped out-of-fold prediction, not a fitted value from the released model.</x:v>
      </x:c>
      <x:c r="E7"/>
    </x:row>
    <x:row r="8" ht="66" customHeight="1">
      <x:c r="A8" s="11" t="str">
        <x:v>existing_irap_cross_recoded_ped_per_h</x:v>
      </x:c>
      <x:c r="B8" s="11" t="str">
        <x:v>Existing iRAP flow estimate (recoded) — Crossing</x:v>
      </x:c>
      <x:c r="C8" s="11" t="str">
        <x:v>pedestrians/hour</x:v>
      </x:c>
      <x:c r="D8" s="11" t="str">
        <x:v>Client recoding of existing AusRAP categories; equal-weight mean of overlapping segments. Not an official exact count.</x:v>
      </x:c>
      <x:c r="E8"/>
    </x:row>
    <x:row r="9" ht="66" customHeight="1">
      <x:c r="A9" s="11" t="str">
        <x:v>observed_cross_category</x:v>
      </x:c>
      <x:c r="B9" s="11" t="str">
        <x:v>Observed flow category — Crossing</x:v>
      </x:c>
      <x:c r="C9" s="11" t="str">
        <x:v>category</x:v>
      </x:c>
      <x:c r="D9" s="11" t="str">
        <x:v>Project continuous rule: zero separately, positive upper bounds 5,25,50,100,200,300,400,500,900.</x:v>
      </x:c>
      <x:c r="E9"/>
    </x:row>
    <x:row r="10" ht="66" customHeight="1">
      <x:c r="A10" s="11" t="str">
        <x:v>predicted_cross_category</x:v>
      </x:c>
      <x:c r="B10" s="11" t="str">
        <x:v>Model-predicted flow category — Crossing</x:v>
      </x:c>
      <x:c r="C10" s="11" t="str">
        <x:v>category</x:v>
      </x:c>
      <x:c r="D10" s="11" t="str">
        <x:v>Same continuous rule as observed categories. Original numeric flow is not rounded.</x:v>
      </x:c>
      <x:c r="E10"/>
    </x:row>
    <x:row r="11" ht="66" customHeight="1">
      <x:c r="A11" s="11" t="str">
        <x:v>existing_ausrap_cross_category</x:v>
      </x:c>
      <x:c r="B11" s="11" t="str">
        <x:v>Existing AusRAP flow category — Crossing</x:v>
      </x:c>
      <x:c r="C11" s="11" t="str">
        <x:v>category</x:v>
      </x:c>
      <x:c r="D11" s="11" t="str">
        <x:v>Blank for multiple source categories. The notes list the category set; numeric comparison can still be eligible.</x:v>
      </x:c>
      <x:c r="E11"/>
    </x:row>
    <x:row r="12" ht="66" customHeight="1">
      <x:c r="A12" s="11" t="str">
        <x:v>existing_ausrap_cross_band</x:v>
      </x:c>
      <x:c r="B12" s="11" t="str">
        <x:v>Existing AusRAP flow band — Crossing</x:v>
      </x:c>
      <x:c r="C12" s="11" t="str">
        <x:v>pedestrians/hour</x:v>
      </x:c>
      <x:c r="D12" s="11" t="str">
        <x:v>Official category endpoints averaged over matched segments; a derived descriptive interval, not a confidence interval.</x:v>
      </x:c>
      <x:c r="E12"/>
    </x:row>
    <x:row r="13" ht="66" customHeight="1">
      <x:c r="A13" s="11" t="str">
        <x:v>obs_peak_along_ped_per_h</x:v>
      </x:c>
      <x:c r="B13" s="11" t="str">
        <x:v>Observed peak-hour flow — Along-road</x:v>
      </x:c>
      <x:c r="C13" s="11" t="str">
        <x:v>pedestrians/hour</x:v>
      </x:c>
      <x:c r="D13" s="11" t="str">
        <x:v>See comparison protocol and source metadata below.</x:v>
      </x:c>
      <x:c r="E13"/>
    </x:row>
    <x:row r="14" ht="66" customHeight="1">
      <x:c r="A14" s="11" t="str">
        <x:v>pred_peak_along_ped_per_h</x:v>
      </x:c>
      <x:c r="B14" s="11" t="str">
        <x:v>Model-predicted peak-hour flow — Along-road</x:v>
      </x:c>
      <x:c r="C14" s="11" t="str">
        <x:v>pedestrians/hour</x:v>
      </x:c>
      <x:c r="D14" s="11" t="str">
        <x:v>Saved road-grouped out-of-fold prediction, retaining existing numeric target coverage.</x:v>
      </x:c>
      <x:c r="E14"/>
    </x:row>
    <x:row r="15" ht="66" customHeight="1">
      <x:c r="A15" s="11" t="str">
        <x:v>existing_irap_along_recoded_ped_per_h</x:v>
      </x:c>
      <x:c r="B15" s="11" t="str">
        <x:v>Existing iRAP flow estimate (recoded) — Along-road</x:v>
      </x:c>
      <x:c r="C15" s="11" t="str">
        <x:v>pedestrians/hour</x:v>
      </x:c>
      <x:c r="D15" s="11" t="str">
        <x:v>Client recoding; add the two sides within each segment, then average overlapping segments.</x:v>
      </x:c>
      <x:c r="E15"/>
    </x:row>
    <x:row r="16" ht="66" customHeight="1">
      <x:c r="A16" s="11" t="str">
        <x:v>existing_ausrap_along_combined_band</x:v>
      </x:c>
      <x:c r="B16" s="11" t="str">
        <x:v>Existing AusRAP combined flow band — Along-road</x:v>
      </x:c>
      <x:c r="C16" s="11" t="str">
        <x:v>pedestrians/hour</x:v>
      </x:c>
      <x:c r="D16" s="11" t="str">
        <x:v>Sum the side endpoints within each segment, then average. No separate side columns are displayed.</x:v>
      </x:c>
      <x:c r="E16"/>
    </x:row>
    <x:row r="17" ht="66" customHeight="1">
      <x:c r="A17" s="11" t="str">
        <x:v>cross_evaluation_eligible</x:v>
      </x:c>
      <x:c r="B17" s="11" t="str">
        <x:v>Included in crossing metrics</x:v>
      </x:c>
      <x:c r="C17" s="11" t="str">
        <x:v>boolean</x:v>
      </x:c>
      <x:c r="D17" s="11" t="str">
        <x:v>TRUE means both methods use this site in crossing summary metrics.</x:v>
      </x:c>
      <x:c r="E17"/>
    </x:row>
    <x:row r="18" ht="66" customHeight="1">
      <x:c r="A18" s="11" t="str">
        <x:v>along_evaluation_eligible</x:v>
      </x:c>
      <x:c r="B18" s="11" t="str">
        <x:v>Included in along-road metrics</x:v>
      </x:c>
      <x:c r="C18" s="11" t="str">
        <x:v>boolean</x:v>
      </x:c>
      <x:c r="D18" s="11" t="str">
        <x:v>TRUE means both methods use this site in along-road summary metrics. Two coverage exceptions are FALSE.</x:v>
      </x:c>
      <x:c r="E18"/>
    </x:row>
    <x:row r="19" ht="66" customHeight="1">
      <x:c r="A19" s="11" t="str">
        <x:v>comparison_status</x:v>
      </x:c>
      <x:c r="B19" s="11" t="str">
        <x:v>Comparison status</x:v>
      </x:c>
      <x:c r="C19" s="11"/>
      <x:c r="D19" s="11" t="str">
        <x:v>See comparison protocol and source metadata below.</x:v>
      </x:c>
      <x:c r="E19"/>
    </x:row>
    <x:row r="20" ht="66" customHeight="1">
      <x:c r="A20" s="29" t="str">
        <x:v>comparison_notes</x:v>
      </x:c>
      <x:c r="B20" s="29" t="str">
        <x:v>Comparison notes</x:v>
      </x:c>
      <x:c r="C20" s="29"/>
      <x:c r="D20" s="29" t="str">
        <x:v>See comparison protocol and source metadata below.</x:v>
      </x:c>
      <x:c r="E20"/>
    </x:row>
    <x:row r="21" ht="22" customHeight="1">
      <x:c r="A21" s="11"/>
      <x:c r="B21" s="11"/>
      <x:c r="C21" s="11"/>
      <x:c r="D21" s="11"/>
      <x:c r="E21" s="11"/>
    </x:row>
    <x:row r="22" ht="22" customHeight="1">
      <x:c r="A22" s="11"/>
      <x:c r="B22" s="11"/>
      <x:c r="C22" s="11"/>
      <x:c r="D22" s="11"/>
      <x:c r="E22" s="11"/>
    </x:row>
    <x:row r="23" ht="22" customHeight="1">
      <x:c r="A23" s="22" t="str">
        <x:v>Source / convention</x:v>
      </x:c>
      <x:c r="B23" s="22" t="str">
        <x:v>Details</x:v>
      </x:c>
      <x:c r="C23" s="11"/>
      <x:c r="D23" s="11"/>
      <x:c r="E23" s="11"/>
    </x:row>
    <x:row r="24" ht="76" customHeight="1">
      <x:c r="A24" s="11" t="str">
        <x:v>Protocol</x:v>
      </x:c>
      <x:c r="B24" s="11" t="str">
        <x:v>irap_comparison_protocol_v1; positive_upper_bound_v1</x:v>
      </x:c>
      <x:c r="C24" s="11"/>
      <x:c r="D24" s="11"/>
      <x:c r="E24" s="11"/>
    </x:row>
    <x:row r="25" ht="76" customHeight="1">
      <x:c r="A25" s="11" t="str">
        <x:v>Observed counts</x:v>
      </x:c>
      <x:c r="B25" s="11" t="str">
        <x:v>data/processed/model_dataset.xlsx, Model_Data: current corrected targets.</x:v>
      </x:c>
      <x:c r="C25" s="11"/>
      <x:c r="D25" s="11"/>
      <x:c r="E25" s="11"/>
    </x:row>
    <x:row r="26" ht="76" customHeight="1">
      <x:c r="A26" s="11" t="str">
        <x:v>OOF predictions</x:v>
      </x:c>
      <x:c r="B26" s="11" t="str">
        <x:v>03_model_comparison_oof_predictions.csv; Model = Linear regression; Target = Cross-road / Along-road.</x:v>
      </x:c>
      <x:c r="C26" s="11"/>
      <x:c r="D26" s="11"/>
      <x:c r="E26" s="11"/>
    </x:row>
    <x:row r="27" ht="76" customHeight="1">
      <x:c r="A27" s="11" t="str">
        <x:v>Existing estimates</x:v>
      </x:c>
      <x:c r="B27" s="11" t="str">
        <x:v>data/raw/Ped_iRAP_merged.csv; Ped_Peak_Cross and Ped_Peak_Along.</x:v>
      </x:c>
      <x:c r="C27" s="11"/>
      <x:c r="D27" s="11"/>
      <x:c r="E27" s="11"/>
    </x:row>
    <x:row r="28" ht="76" customHeight="1">
      <x:c r="A28" s="11" t="str">
        <x:v>Source categories and intervals</x:v>
      </x:c>
      <x:c r="B28" s="11" t="str">
        <x:v>AusRAP Data - Words - MSDS.xlsx; source rows and fingerprints in evidence/preflight_audit.json and evidence/manifest.json.</x:v>
      </x:c>
      <x:c r="C28" s="11"/>
      <x:c r="D28" s="11"/>
      <x:c r="E28" s="11"/>
    </x:row>
    <x:row r="29" ht="76" customHeight="1">
      <x:c r="A29" s="11" t="str">
        <x:v>Category dictionary</x:v>
      </x:c>
      <x:c r="B29" s="11" t="str">
        <x:v>iRAP Star Rating and Investment Plan Manual, v1.5 (2024), pp. 26, 30–31.</x:v>
      </x:c>
      <x:c r="C29" s="11"/>
      <x:c r="D29" s="11"/>
      <x:c r="E29" s="11"/>
    </x:row>
    <x:row r="30" ht="76" customHeight="1">
      <x:c r="A30" s="11" t="str">
        <x:v>Official source</x:v>
      </x:c>
      <x:c r="B30" s="11" t="str">
        <x:v>https://austroads.gov.au/__data/assets/pdf_file/0033/836295/iRAP_Star_Rating_and_Investment_Plan_Manual_English.pdf</x:v>
      </x:c>
      <x:c r="C30" s="11"/>
      <x:c r="D30" s="11"/>
      <x:c r="E30" s="11"/>
    </x:row>
    <x:row r="31" ht="76" customHeight="1">
      <x:c r="A31" s="11" t="str">
        <x:v>Continuous convention</x:v>
      </x:c>
      <x:c r="B31" s="11" t="str">
        <x:v>0 has category 1; positives use inclusive upper bounds. 900 belongs to category 10; &gt;900 to 11. This is a project convention.</x:v>
      </x:c>
      <x:c r="C31" s="11"/>
      <x:c r="D31" s="11"/>
      <x:c r="E31" s="11"/>
    </x:row>
    <x:row r="32" ht="76" customHeight="1">
      <x:c r="A32" s="11" t="str">
        <x:v>Client fixed recoding</x:v>
      </x:c>
      <x:c r="B32" s="11" t="str">
        <x:v>1→0, 2→3, 3→15, 4→38, 5→75, 6→150, 7→250, 8→350, 9→450; no client recoding for 10/11.</x:v>
      </x:c>
      <x:c r="C32" s="11"/>
      <x:c r="D32" s="11"/>
      <x:c r="E32" s="11"/>
    </x:row>
    <x:row r="33" ht="76" customHeight="1">
      <x:c r="A33" s="11" t="str">
        <x:v>Missing data</x:v>
      </x:c>
      <x:c r="B33" s="11" t="str">
        <x:v>Blank is unavailable, not zero. All 49 sites remain, including four without usable reference values.</x:v>
      </x:c>
      <x:c r="C33" s="11"/>
      <x:c r="D33" s="11"/>
      <x:c r="E33" s="11"/>
    </x:row>
    <x:row r="34" ht="76" customHeight="1">
      <x:c r="A34" s="11" t="str">
        <x:v>Mixed categories</x:v>
      </x:c>
      <x:c r="B34" s="11" t="str">
        <x:v>24 of 45 matched sites have more than one crossing category; one original category is not invented.</x:v>
      </x:c>
      <x:c r="C34" s="11"/>
      <x:c r="D34" s="11"/>
      <x:c r="E34" s="11"/>
    </x:row>
    <x:row r="35" ht="76" customHeight="1">
      <x:c r="A35" s="11" t="str">
        <x:v>Model validation</x:v>
      </x:c>
      <x:c r="B35" s="11" t="str">
        <x:v>Internal grouped cross-validation. Feature/model selection used the survey data; not external validation.</x:v>
      </x:c>
      <x:c r="C35" s="11"/>
      <x:c r="D35" s="11"/>
      <x:c r="E35" s="11"/>
    </x:row>
    <x:row r="36" ht="76" customHeight="1">
      <x:c r="A36" s="11" t="str">
        <x:v>Sensitivity status</x:v>
      </x:c>
      <x:c r="B36" s="11" t="str">
        <x:v>Refitting after excluding corrected sites 250341-04 and 260335-38 has not been completed in this run.</x:v>
      </x:c>
      <x:c r="C36" s="11"/>
      <x:c r="D36" s="11"/>
      <x:c r="E36" s="11"/>
    </x:row>
    <x:row r="37" ht="76" customHeight="1">
      <x:c r="A37" s="11" t="str">
        <x:v>Workbook calculation</x:v>
      </x:c>
      <x:c r="B37" s="11" t="str">
        <x:v>Summary formulas read Errors; Errors look up current Site_Comparison values by Site ID. XY plots store frozen comparison values; regenerate the workbook after editing inputs.</x:v>
      </x:c>
      <x:c r="C37" s="11"/>
      <x:c r="D37" s="11"/>
      <x:c r="E37" s="11"/>
    </x:row>
    <x:row r="38" ht="76" customHeight="1">
      <x:c r="A38" s="29" t="str">
        <x:v>Output scope</x:v>
      </x:c>
      <x:c r="B38" s="29" t="str">
        <x:v>Separate OOF evaluation workbook. Production uses prediction_output_v5 (29 columns), released-model inference, and no accuracy metrics.</x:v>
      </x:c>
      <x:c r="C38" s="11"/>
      <x:c r="D38" s="11"/>
      <x:c r="E38" s="11"/>
    </x:row>
    <x:row r="39" ht="22" customHeight="1">
      <x:c r="A39" s="11"/>
      <x:c r="B39" s="11"/>
      <x:c r="C39" s="11"/>
      <x:c r="D39" s="11"/>
      <x:c r="E39" s="11"/>
    </x:row>
    <x:row r="40" ht="22" customHeight="1">
      <x:c r="A40" s="11"/>
      <x:c r="B40" s="11"/>
      <x:c r="C40" s="11"/>
      <x:c r="D40" s="11"/>
      <x:c r="E40" s="11"/>
    </x:row>
  </x:sheetData>
  <x:pageMargins left="0.7" right="0.7" top="0.75" bottom="0.75" header="0.3" footer="0.3"/>
</x:worksheet>
</file>